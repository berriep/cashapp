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24226"/>
  <mc:AlternateContent xmlns:mc="http://schemas.openxmlformats.org/markup-compatibility/2006">
    <mc:Choice Requires="x15">
      <x15ac:absPath xmlns:x15ac="http://schemas.microsoft.com/office/spreadsheetml/2010/11/ac" url="https://bnpparibas-my.sharepoint.com/personal/frederic_dufond_bnpparibasfortis_com/Documents/"/>
    </mc:Choice>
  </mc:AlternateContent>
  <xr:revisionPtr revIDLastSave="0" documentId="8_{B5A71571-0E07-4F47-BDE2-5550C33E89F7}" xr6:coauthVersionLast="47" xr6:coauthVersionMax="47" xr10:uidLastSave="{00000000-0000-0000-0000-000000000000}"/>
  <bookViews>
    <workbookView xWindow="-28920" yWindow="-120" windowWidth="29040" windowHeight="15720" xr2:uid="{578DCA56-C95E-41B6-BC91-B26C3327C7AC}"/>
  </bookViews>
  <sheets>
    <sheet name="Sched 2.1 Software" sheetId="1" r:id="rId1"/>
    <sheet name="Sched 2.2 Signature &amp; Comm" sheetId="2" r:id="rId2"/>
    <sheet name="Sched 3. Tech Params &amp; Contacts" sheetId="3" r:id="rId3"/>
    <sheet name="Sched 4. Account List &amp; Serv" sheetId="4" r:id="rId4"/>
    <sheet name="Sched 6. Fees &amp; Payments"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ACformat">[1]source!$B$5:$D$5</definedName>
    <definedName name="address_line1">#REF!</definedName>
    <definedName name="address_line2">#REF!</definedName>
    <definedName name="Adminlevel">[1]source!$B$9:$D$9</definedName>
    <definedName name="Admintype">[1]source!$B$7:$D$7</definedName>
    <definedName name="adress_line2">#REF!</definedName>
    <definedName name="adress_line3">#REF!</definedName>
    <definedName name="Authapproval">[1]source!$B$17:$C$17</definedName>
    <definedName name="Authlimit">[1]source!$B$15:$C$15</definedName>
    <definedName name="Authmethod">[1]source!$B$13:$D$13</definedName>
    <definedName name="BankAccounts">#REF!</definedName>
    <definedName name="BankAccounts_2">#REF!</definedName>
    <definedName name="Banks">'[2]03.3 Banks'!#REF!</definedName>
    <definedName name="Banks_2">'[3]03.3 Banks'!#REF!</definedName>
    <definedName name="Bena">[1]source!$B$19:$D$19</definedName>
    <definedName name="BIC">'[4]Client Information'!$E$5</definedName>
    <definedName name="BNPPBU">'[4]Client Information'!$E$14</definedName>
    <definedName name="BNPPinCOI">'[4]Client Information'!$E$24</definedName>
    <definedName name="BRinNotCOI">'[4]Client Information'!#REF!</definedName>
    <definedName name="BRinNOTCOI_2">'[5]Client Information'!#REF!</definedName>
    <definedName name="CalculatedRiskLevel">[4]Scoring!$F$65</definedName>
    <definedName name="cdvf">#REF!</definedName>
    <definedName name="checksum">[6]source!$B$21:$E$21</definedName>
    <definedName name="city">#REF!</definedName>
    <definedName name="city_2">#REF!</definedName>
    <definedName name="ClientName">'[4]Client Information'!$E$4</definedName>
    <definedName name="ClientSegment">'[4]Client Information'!$E$13</definedName>
    <definedName name="COIisBNPPRetail">'[4]Client Information'!#REF!</definedName>
    <definedName name="COlisBNPPRetail_2">'[5]Client Information'!#REF!</definedName>
    <definedName name="Companies">#REF!</definedName>
    <definedName name="Companies_2">#REF!</definedName>
    <definedName name="company_id">#REF!</definedName>
    <definedName name="company_id_2">#REF!</definedName>
    <definedName name="company_name">#REF!</definedName>
    <definedName name="company_name_2">#REF!</definedName>
    <definedName name="Country">#REF!</definedName>
    <definedName name="country_code">#REF!</definedName>
    <definedName name="country_code_2">#REF!</definedName>
    <definedName name="country_name">#REF!</definedName>
    <definedName name="country_name_2">#REF!</definedName>
    <definedName name="CountryOfBU">'[4]Client Information'!$E$15</definedName>
    <definedName name="CountryOfIncorporation">'[4]Client Information'!$E$23</definedName>
    <definedName name="Creditor">[6]source!$B$23:$D$23</definedName>
    <definedName name="critere_tri">#REF!</definedName>
    <definedName name="critere_tri_2">#REF!</definedName>
    <definedName name="CurrencyCode">[7]Currency!$B$4:$B$210</definedName>
    <definedName name="d">#REF!</definedName>
    <definedName name="d_2">#REF!</definedName>
    <definedName name="Data">#REF!</definedName>
    <definedName name="Data_">'[8]4 Accounts'!#REF!</definedName>
    <definedName name="Data_2">#REF!</definedName>
    <definedName name="Data_3">'[9]4 Accounts'!#REF!</definedName>
    <definedName name="ddd">#REF!</definedName>
    <definedName name="debut_tableau">#REF!</definedName>
    <definedName name="debut_tableau_2">#REF!</definedName>
    <definedName name="DEBUTUSER">#REF!</definedName>
    <definedName name="DEBUTUSER_DET">#REF!</definedName>
    <definedName name="dfg">#REF!</definedName>
    <definedName name="Doctype">[1]source!$B$1:$D$1</definedName>
    <definedName name="Documentation_LOV">[10]LOV!$G$2:$G$12</definedName>
    <definedName name="ECTrader">'[4]Client Activity'!#REF!</definedName>
    <definedName name="ExposureToMSC">'[4]Client Activity'!$D$27</definedName>
    <definedName name="FileAct">#REF!</definedName>
    <definedName name="Final_Status">[10]LOV!$I$2:$I$5</definedName>
    <definedName name="FINUSER">#REF!</definedName>
    <definedName name="FINUSER_DET">#REF!</definedName>
    <definedName name="Format">#REF!</definedName>
    <definedName name="Formats">#REF!</definedName>
    <definedName name="FSIncidents">#REF!</definedName>
    <definedName name="KO">#REF!</definedName>
    <definedName name="KYC_Type">[10]LOV!$E$10:$E$12</definedName>
    <definedName name="Language">[11]source!$B$21:$C$21</definedName>
    <definedName name="LegalEntities">#REF!</definedName>
    <definedName name="List_bank">[12]Reference!$D$3:$D$64</definedName>
    <definedName name="List_Curr">[12]Reference!$E$3:$E$31</definedName>
    <definedName name="list_freq">[12]Reference!$A$3:$A$12</definedName>
    <definedName name="list_mode">[12]Reference!$B$3:$B$13</definedName>
    <definedName name="ListeBruno03_28_01">#REF!</definedName>
    <definedName name="LISTEPAYS">[13]DICO!$A$2:'[13]DICO'!$A$249</definedName>
    <definedName name="LISTEPAYSCODES">[13]DICO!$A$2:$B$249</definedName>
    <definedName name="LST_ABC">#REF!</definedName>
    <definedName name="LST_ACCOUNTSTATUS">#REF!</definedName>
    <definedName name="LST_AMD">[14]Technique!$K$27:$K$29</definedName>
    <definedName name="LST_AMSU">#REF!</definedName>
    <definedName name="LST_AOD">#REF!</definedName>
    <definedName name="LST_BANK">#REF!</definedName>
    <definedName name="LST_BIC_PROD">#REF!</definedName>
    <definedName name="LST_BIC_TEST">#REF!</definedName>
    <definedName name="LST_CENTRALREPORT">#REF!</definedName>
    <definedName name="LST_CONNEXIS">#REF!</definedName>
    <definedName name="LST_CPSTATUS">#REF!</definedName>
    <definedName name="LST_CURRENCY">[15]Technique!$A$15:$A$43</definedName>
    <definedName name="LST_DN">#REF!</definedName>
    <definedName name="LST_EB">[16]Technique!$A$23:$A$27</definedName>
    <definedName name="LST_ENV">[16]Technique!$I$23:$I$25</definedName>
    <definedName name="LST_FLRCVD">[16]Technique!$A$31:$A$33</definedName>
    <definedName name="LST_FORMATTYPE">#REF!</definedName>
    <definedName name="LST_LEGAL">[14]Technique!$K$38:$K$41</definedName>
    <definedName name="LST_LEVEL">#REF!</definedName>
    <definedName name="LST_LOCALEB">#REF!</definedName>
    <definedName name="LST_NATURE">#REF!</definedName>
    <definedName name="LST_PDUCT">#REF!</definedName>
    <definedName name="LST_PERIODICITY">#REF!</definedName>
    <definedName name="LST_PHASE">#REF!</definedName>
    <definedName name="LST_PRDCT">[16]Technique!$I$2:$I$5</definedName>
    <definedName name="LST_PRIORITY">[14]Technique!$G$27:$G$29</definedName>
    <definedName name="LST_RESIDENT">#REF!</definedName>
    <definedName name="LST_RSLTS">[17]Technique!$G$14:$G$15</definedName>
    <definedName name="LST_SCHM">[16]Technique!$C$31:$C$32</definedName>
    <definedName name="LST_STATUS">[14]Technique!$C$2:$C$6</definedName>
    <definedName name="LST_SWEEPINGMODE">#REF!</definedName>
    <definedName name="LST_TEST">#REF!</definedName>
    <definedName name="LST_TESTST">[18]Technique!$I$46:$I$49</definedName>
    <definedName name="LST_TESTTYPE">[18]Technique!$I$53:$I$55</definedName>
    <definedName name="LST_TOKEN">#REF!</definedName>
    <definedName name="LST_TREDN">#REF!</definedName>
    <definedName name="LST_TREND">[19]Technique!$K$45:$K$47</definedName>
    <definedName name="LST_TSTS">[16]Technique!$G$31:$G$32</definedName>
    <definedName name="LST_TYPE">#REF!</definedName>
    <definedName name="LST_YN">[14]Technique!$C$15:$C$17</definedName>
    <definedName name="NameOfRM">'[4]Client Information'!$E$16</definedName>
    <definedName name="OBISPO">[10]LOV!$A$2:$A$10</definedName>
    <definedName name="OBISTeam">[10]LOV!$C$2:$C$45</definedName>
    <definedName name="PKI_1000162">#REF!</definedName>
    <definedName name="ProcessType">'[4]Client Information'!$E$17</definedName>
    <definedName name="Project_Status">[10]LOV!$K$2:$K$15</definedName>
    <definedName name="Protocol">#REF!</definedName>
    <definedName name="Protocoles">#REF!</definedName>
    <definedName name="REMOTEAUTH">#REF!</definedName>
    <definedName name="REQUEST_TYPE">#REF!</definedName>
    <definedName name="SanctionOnClient">'[4]Client Information'!$I$4</definedName>
    <definedName name="SensCountryOfIncorporation">'[4]Client Information'!$G$23</definedName>
    <definedName name="Service">#REF!</definedName>
    <definedName name="Services">#REF!</definedName>
    <definedName name="Services_FA">#REF!</definedName>
    <definedName name="Services_FIN">#REF!</definedName>
    <definedName name="Sign">#REF!</definedName>
    <definedName name="Signing">#REF!</definedName>
    <definedName name="sss">[17]Technique!$E$2:$E$6</definedName>
    <definedName name="szzsz">[17]Technique!$I$22:$I$28</definedName>
    <definedName name="TENDANCE_RISQUE">'[20]7.1 Reglages'!$C$101:$C$103</definedName>
    <definedName name="TestPlan">#REF!</definedName>
    <definedName name="Tests">#REF!</definedName>
    <definedName name="Title">#REF!</definedName>
    <definedName name="Titles">#REF!</definedName>
    <definedName name="TotalScore">[4]Scoring!$D$65</definedName>
    <definedName name="tt">[21]Technique!$C$15:$C$16</definedName>
    <definedName name="typeofadministrator">[6]source!$B$25:$F$25</definedName>
    <definedName name="Userapproval">[1]source!$B$11:$C$11</definedName>
    <definedName name="Yes_No">#REF!</definedName>
    <definedName name="YesNo">#REF!</definedName>
    <definedName name="Z_">#REF!</definedName>
    <definedName name="_xlnm.Print_Area" localSheetId="0">'Sched 2.1 Software'!$A$1:$G$33</definedName>
    <definedName name="_xlnm.Print_Area" localSheetId="2">'Sched 3. Tech Params &amp; Contacts'!$A$1:$F$90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5" l="1"/>
  <c r="G10" i="5"/>
  <c r="F10" i="5"/>
  <c r="C10" i="5"/>
  <c r="B10" i="5"/>
  <c r="G9" i="5"/>
  <c r="F9" i="5"/>
  <c r="C9" i="5"/>
  <c r="B9" i="5"/>
  <c r="G8" i="5"/>
  <c r="F8" i="5"/>
  <c r="C8" i="5"/>
  <c r="B8" i="5"/>
  <c r="G7" i="5"/>
  <c r="F7" i="5"/>
  <c r="C7" i="5"/>
  <c r="B7" i="5"/>
  <c r="G6" i="5"/>
  <c r="F6" i="5"/>
  <c r="C6" i="5"/>
  <c r="B6" i="5"/>
  <c r="G5" i="5"/>
  <c r="F5" i="5"/>
  <c r="C5" i="5"/>
  <c r="B5" i="5"/>
  <c r="B28" i="4"/>
  <c r="E25" i="4"/>
  <c r="B25" i="4"/>
  <c r="E24" i="4"/>
  <c r="B24" i="4"/>
  <c r="E21" i="4"/>
  <c r="B21" i="4"/>
  <c r="E18" i="4"/>
  <c r="B18" i="4"/>
  <c r="E17" i="4"/>
  <c r="B17" i="4"/>
  <c r="B14" i="4"/>
  <c r="D13" i="4"/>
  <c r="U12" i="4"/>
  <c r="K12" i="4"/>
  <c r="D12" i="4"/>
  <c r="U11" i="4"/>
  <c r="K11" i="4"/>
  <c r="D11" i="4"/>
  <c r="U10" i="4"/>
  <c r="K10" i="4"/>
  <c r="D10" i="4"/>
  <c r="U9" i="4"/>
  <c r="K9" i="4"/>
  <c r="D9" i="4"/>
  <c r="K8" i="4"/>
  <c r="D8" i="4"/>
  <c r="B60" i="3"/>
  <c r="B59" i="3"/>
  <c r="B58" i="3"/>
  <c r="B57" i="3"/>
  <c r="E17" i="3"/>
  <c r="E28" i="4" s="1"/>
  <c r="G11" i="2"/>
  <c r="F11" i="2"/>
  <c r="C11" i="2"/>
  <c r="B11" i="2"/>
  <c r="G10" i="2"/>
  <c r="F10" i="2"/>
  <c r="C10" i="2"/>
  <c r="B10" i="2"/>
  <c r="G9" i="2"/>
  <c r="F9" i="2"/>
  <c r="C9" i="2"/>
  <c r="B9" i="2"/>
  <c r="G8" i="2"/>
  <c r="F8" i="2"/>
  <c r="C8" i="2"/>
  <c r="B8" i="2"/>
  <c r="G7" i="2"/>
  <c r="F7" i="2"/>
  <c r="C7" i="2"/>
  <c r="B7" i="2"/>
  <c r="G6" i="2"/>
  <c r="F6" i="2"/>
  <c r="C6" i="2"/>
  <c r="B6" i="2"/>
  <c r="F10" i="1"/>
  <c r="E10" i="1"/>
  <c r="B10" i="1"/>
  <c r="A10" i="1"/>
  <c r="F9" i="1"/>
  <c r="E9" i="1"/>
  <c r="B9" i="1"/>
  <c r="A9" i="1"/>
  <c r="F8" i="1"/>
  <c r="E8" i="1"/>
  <c r="B8" i="1"/>
  <c r="A8" i="1"/>
  <c r="F7" i="1"/>
  <c r="E7" i="1"/>
  <c r="B7" i="1"/>
  <c r="A7" i="1"/>
  <c r="F6" i="1"/>
  <c r="E6" i="1"/>
  <c r="B6" i="1"/>
  <c r="A6" i="1"/>
  <c r="F5" i="1"/>
  <c r="E5" i="1"/>
  <c r="B5" i="1"/>
  <c r="A5" i="1"/>
</calcChain>
</file>

<file path=xl/sharedStrings.xml><?xml version="1.0" encoding="utf-8"?>
<sst xmlns="http://schemas.openxmlformats.org/spreadsheetml/2006/main" count="583" uniqueCount="217">
  <si>
    <t>DIRECT CONNECTIVITY - API
SCHEDULE 2.1 - Software</t>
  </si>
  <si>
    <r>
      <rPr>
        <b/>
        <u/>
        <sz val="14"/>
        <rFont val="BNPP Type"/>
      </rPr>
      <t xml:space="preserve">Description of API protocol
</t>
    </r>
    <r>
      <rPr>
        <b/>
        <sz val="14"/>
        <rFont val="BNPP Type"/>
      </rPr>
      <t xml:space="preserve">
</t>
    </r>
    <r>
      <rPr>
        <sz val="14"/>
        <rFont val="BNPP Type Light"/>
      </rPr>
      <t xml:space="preserve">Access to the Server and use of the Service (as mentioned in clause 4 of the Agreement), require the Participating User to be equipped with a relevant Software or web service for transferring messages over the Internet. 
The Bank accepts the following standard API (Application Programming Interface) protocol:
BNPP’s payment initiation APIs are based on HTTP protocol and REST (Representational State Transfer) standard, with the use of TLS1.2 for encryption and cross-authentication between the Bank and the Participating User. 
Bank accepts the TLS1.2 certificates solely delivered by the CAB forum members: https://cabforum.org/members/
Client identification and authentication is enhanced by a client ID and client secret exchange mechanism during the OAUTH2 access token process. </t>
    </r>
  </si>
  <si>
    <t>DIRECT CONNECTIVITY - API
SCHEDULE 2.2 - Digital signature solution &amp; communication</t>
  </si>
  <si>
    <r>
      <t xml:space="preserve">The use of the Service requires the Participating User to be equipped with a Digital Signature Solution.
The Bank accepts the following Digital Signature Solution:
</t>
    </r>
    <r>
      <rPr>
        <b/>
        <sz val="14"/>
        <rFont val="BNPP Type"/>
      </rPr>
      <t xml:space="preserve">1. HTTP Signature (only for API channel) </t>
    </r>
    <r>
      <rPr>
        <b/>
        <sz val="14"/>
        <rFont val="BNPP Type Light"/>
      </rPr>
      <t xml:space="preserve">
</t>
    </r>
    <r>
      <rPr>
        <sz val="14"/>
        <rFont val="BNPP Type Light"/>
      </rPr>
      <t xml:space="preserve">
The way it should be implemented is the following:
Computing a SHA256 digest of the HTTP body and adding this digest as an extra HTTP header as defined in [RFC3230] and [RFC5843]. 
Using your certificate in order to apply RSA-SHA256 signature on the digest
Adding this signature within an extra HTTP header 
This HTTP signature mechanism is described more in detail in the API technical documentation provided during the implementation phase.
</t>
    </r>
    <r>
      <rPr>
        <b/>
        <sz val="14"/>
        <rFont val="BNPP Type"/>
      </rPr>
      <t>2. Certificates</t>
    </r>
    <r>
      <rPr>
        <b/>
        <sz val="14"/>
        <rFont val="BNPP Type Light"/>
      </rPr>
      <t xml:space="preserve"> 
</t>
    </r>
    <r>
      <rPr>
        <sz val="14"/>
        <rFont val="BNPP Type Light"/>
      </rPr>
      <t xml:space="preserve">
The Bank accepts the following certificates
3Skey provided by SWIFT: the 3SKEY solution, usable on the SWIFT network but also on proprietary networks or the Internet, allows corporates to sign financial messages and files sent to their banks, using a single signing device.
eIDAS (electronique IDentification And trust Services for electronic transactions) certificates, provided by Trust Service Providers / Qualified Certificate Authorities.
</t>
    </r>
    <r>
      <rPr>
        <b/>
        <sz val="14"/>
        <rFont val="BNPP Type"/>
      </rPr>
      <t>3. Credentials and Certificates communication</t>
    </r>
    <r>
      <rPr>
        <b/>
        <sz val="14"/>
        <rFont val="BNPP Type Light"/>
      </rPr>
      <t xml:space="preserve">
</t>
    </r>
    <r>
      <rPr>
        <sz val="14"/>
        <rFont val="BNPP Type Light"/>
      </rPr>
      <t xml:space="preserve">
The transfer of sensitive data between the Bank and ithe Participating User regarding the certificates (TLS1.2 and Digital Signature) and the credentials for the OAUTH2 mechanism (client ID and client secret exchange mechanism) must be done solely via the secured web portal proposed by the Bank: https://securesharing.bnpparibas.com/workspace/sfs-itg/
The client secret exchange mechanism will be delivered by the Bank in an encrypted file on this portal. The password to decrypt this file will not be communicated via e-mail. The client must communicate a phone number to the Bank in order to recieve this password via SMS.</t>
    </r>
  </si>
  <si>
    <t>DIRECT CONNECTIVITY - API
SCHEDULE 3 - Technical parameters &amp; contacts</t>
  </si>
  <si>
    <t>Participating User:</t>
  </si>
  <si>
    <t>CPSP BELGIË NV</t>
  </si>
  <si>
    <t>Internal SGI:</t>
  </si>
  <si>
    <t>02468 - TBD</t>
  </si>
  <si>
    <t>Client type:</t>
  </si>
  <si>
    <t>Establishement Institutions</t>
  </si>
  <si>
    <t>RMPM:</t>
  </si>
  <si>
    <t>4AAP510785</t>
  </si>
  <si>
    <t>Country:</t>
  </si>
  <si>
    <t>Belgium</t>
  </si>
  <si>
    <t>WF / ID:</t>
  </si>
  <si>
    <t>TBD</t>
  </si>
  <si>
    <t>Connectivity Info:</t>
  </si>
  <si>
    <t>API 4 Corporate</t>
  </si>
  <si>
    <t>Contract version:</t>
  </si>
  <si>
    <t>DCA Standard</t>
  </si>
  <si>
    <t>Author:</t>
  </si>
  <si>
    <t>Frédéric Dufond</t>
  </si>
  <si>
    <t>Contracting Bank:</t>
  </si>
  <si>
    <t>BNP PARIBAS FORTIS SA</t>
  </si>
  <si>
    <t xml:space="preserve">Client RM/Global CACM : </t>
  </si>
  <si>
    <t>Davy Vanwetswinkel</t>
  </si>
  <si>
    <t>Last update:</t>
  </si>
  <si>
    <t>The schedule have to be signed and sent back by post mail to: BNP PARIBAS  - Domaine EBALD - ACI : CME05B1 - Valmy 2 - 33 – 41 Rue de Valmy - 93 100 MONTREUIL - France</t>
  </si>
  <si>
    <t>SCHEDULE SIGNATURE(S)</t>
  </si>
  <si>
    <t>Title First name &amp; Last name</t>
  </si>
  <si>
    <t>[Signatory 1]</t>
  </si>
  <si>
    <t>[Signatory 2 if required]</t>
  </si>
  <si>
    <t>Function</t>
  </si>
  <si>
    <t>Function Signatory 1</t>
  </si>
  <si>
    <t>Function Signatory 2</t>
  </si>
  <si>
    <t>Signature</t>
  </si>
  <si>
    <t>________________________________________</t>
  </si>
  <si>
    <t>NOTIFICATIONS</t>
  </si>
  <si>
    <r>
      <t xml:space="preserve">Notifications to be sent in accordance with </t>
    </r>
    <r>
      <rPr>
        <b/>
        <sz val="11"/>
        <rFont val="BNPP Type Light"/>
      </rPr>
      <t>clause 13</t>
    </r>
    <r>
      <rPr>
        <sz val="11"/>
        <rFont val="BNPP Type Light"/>
      </rPr>
      <t xml:space="preserve"> of this Agreement shall be addressed to the contact details indicated below:</t>
    </r>
  </si>
  <si>
    <r>
      <t xml:space="preserve">For the </t>
    </r>
    <r>
      <rPr>
        <b/>
        <sz val="11"/>
        <rFont val="BNPP Type Light"/>
      </rPr>
      <t>"Participating User"</t>
    </r>
    <r>
      <rPr>
        <sz val="11"/>
        <rFont val="BNPP Type Light"/>
      </rPr>
      <t xml:space="preserve">: </t>
    </r>
  </si>
  <si>
    <r>
      <t xml:space="preserve">For the </t>
    </r>
    <r>
      <rPr>
        <b/>
        <sz val="11"/>
        <rFont val="BNPP Type Light"/>
      </rPr>
      <t>"Bank":</t>
    </r>
    <r>
      <rPr>
        <sz val="11"/>
        <rFont val="BNPP Type Light"/>
      </rPr>
      <t xml:space="preserve"> </t>
    </r>
  </si>
  <si>
    <t>BNP Paribas Fortis SA</t>
  </si>
  <si>
    <t>Polstelsesteenweg 100</t>
  </si>
  <si>
    <t>Montagne du Parc, 3</t>
  </si>
  <si>
    <t>2400 MOL</t>
  </si>
  <si>
    <t>B-1000 Brussels</t>
  </si>
  <si>
    <t>BELGIUM</t>
  </si>
  <si>
    <t>1/ Paramètres API</t>
  </si>
  <si>
    <t>In all cases, unless the Bank confirms otherwise with respect to a specific service or product, the parameters used are:</t>
  </si>
  <si>
    <r>
      <t>Please see the technical parameters accepted by the Bank in the "</t>
    </r>
    <r>
      <rPr>
        <b/>
        <u/>
        <sz val="11"/>
        <rFont val="BNPP Type Light"/>
      </rPr>
      <t>API User Guide"</t>
    </r>
    <r>
      <rPr>
        <sz val="11"/>
        <rFont val="BNPP Type Light"/>
      </rPr>
      <t>.</t>
    </r>
  </si>
  <si>
    <t>Live environment</t>
  </si>
  <si>
    <t>Test environment</t>
  </si>
  <si>
    <t>Bank server</t>
  </si>
  <si>
    <t xml:space="preserve">api.cashmanagement.bnpparibas </t>
  </si>
  <si>
    <t xml:space="preserve">api.staging.cashmanagement.bnpparibas </t>
  </si>
  <si>
    <t>2/ Client Environment</t>
  </si>
  <si>
    <t>Head of IT :</t>
  </si>
  <si>
    <t>[ To be filled in]</t>
  </si>
  <si>
    <t>Contact IT</t>
  </si>
  <si>
    <t>Contact IT Phone number:</t>
  </si>
  <si>
    <t>Contact IT e-mail:</t>
  </si>
  <si>
    <t>Customer Authentication Certificate</t>
  </si>
  <si>
    <t>Client IP address</t>
  </si>
  <si>
    <t>Authentication</t>
  </si>
  <si>
    <t>TLS 1.2</t>
  </si>
  <si>
    <t>TESTS</t>
  </si>
  <si>
    <t xml:space="preserve"> Environment required for testing purposes</t>
  </si>
  <si>
    <r>
      <t>TEST Environment:   [</t>
    </r>
    <r>
      <rPr>
        <strike/>
        <sz val="11"/>
        <rFont val="BNPP Type Light"/>
      </rPr>
      <t>YES</t>
    </r>
    <r>
      <rPr>
        <sz val="11"/>
        <rFont val="BNPP Type Light"/>
      </rPr>
      <t>/</t>
    </r>
    <r>
      <rPr>
        <b/>
        <u/>
        <sz val="11"/>
        <rFont val="BNPP Type Light"/>
      </rPr>
      <t>NO</t>
    </r>
    <r>
      <rPr>
        <sz val="11"/>
        <rFont val="BNPP Type Light"/>
      </rPr>
      <t>]</t>
    </r>
  </si>
  <si>
    <r>
      <t>LIVE Environment:    [</t>
    </r>
    <r>
      <rPr>
        <b/>
        <u/>
        <sz val="11"/>
        <rFont val="BNPP Type Light"/>
      </rPr>
      <t>YES</t>
    </r>
    <r>
      <rPr>
        <sz val="11"/>
        <rFont val="BNPP Type Light"/>
      </rPr>
      <t>/</t>
    </r>
    <r>
      <rPr>
        <strike/>
        <sz val="11"/>
        <rFont val="BNPP Type Light"/>
      </rPr>
      <t>NO</t>
    </r>
    <r>
      <rPr>
        <sz val="11"/>
        <rFont val="BNPP Type Light"/>
      </rPr>
      <t>]</t>
    </r>
  </si>
  <si>
    <t xml:space="preserve"> Date required for the starting of the test phase: </t>
  </si>
  <si>
    <t>ASAP</t>
  </si>
  <si>
    <t xml:space="preserve"> Date required for the go live:</t>
  </si>
  <si>
    <t>Upon request, the companies may process API tests:</t>
  </si>
  <si>
    <t xml:space="preserve">   • The tests will be run in test environment , after exchange of technical parameters</t>
  </si>
  <si>
    <t xml:space="preserve">   • The tests will be run in the operational environment after signature of the DCA contract, as BNP Paribas offers a test mode</t>
  </si>
  <si>
    <t>CONTACTS</t>
  </si>
  <si>
    <t>Contacts appointed with regard to message exchange problems</t>
  </si>
  <si>
    <t>In all cases, unless the Bank confirms otherwise with respect to a specific service or product, the contact persons appointed with regard to message exchange problems are:</t>
  </si>
  <si>
    <t>For the Participating User:</t>
  </si>
  <si>
    <t>Participating User - contact for the exchange of sensitive data (e.g connectivity ID, passwords) via a secured SFS environment</t>
  </si>
  <si>
    <t>Name</t>
  </si>
  <si>
    <t>Mobile (SMS sening)</t>
  </si>
  <si>
    <t>E-mail address</t>
  </si>
  <si>
    <t>Language</t>
  </si>
  <si>
    <t>[To be filled in]</t>
  </si>
  <si>
    <t>FR / EN</t>
  </si>
  <si>
    <t>Participating User - functional contact (if different from SFS contact)</t>
  </si>
  <si>
    <t>Phone</t>
  </si>
  <si>
    <t>Client - contact technique (si différent du contact SFS)</t>
  </si>
  <si>
    <t>Participating User - contact for urgent communication (such as service unavailability) !!! Mandatory !!!</t>
  </si>
  <si>
    <t xml:space="preserve">For the Bank: </t>
  </si>
  <si>
    <t>ELECTRONIC BANKING SUPPORT</t>
  </si>
  <si>
    <t>+ 33 1 60 94 99 16</t>
  </si>
  <si>
    <t>paris.electronic.banking.support@bnpparibas.com</t>
  </si>
  <si>
    <t>+32 471 07 13 54</t>
  </si>
  <si>
    <t>davy.vanwetswinkel@bnpparibasfortis.com</t>
  </si>
  <si>
    <t>EN</t>
  </si>
  <si>
    <t>Listes déroulantes</t>
  </si>
  <si>
    <t>Banks</t>
  </si>
  <si>
    <t xml:space="preserve">Institutionals </t>
  </si>
  <si>
    <t xml:space="preserve">Individuals </t>
  </si>
  <si>
    <t>Private Authorities</t>
  </si>
  <si>
    <t xml:space="preserve">Profesionnals </t>
  </si>
  <si>
    <t>States and non-banking institutions</t>
  </si>
  <si>
    <t>Territorial administrations and public services</t>
  </si>
  <si>
    <t>Private Banking Clients</t>
  </si>
  <si>
    <t>DIRECT CONNECTIVITY - API
SCHEDULE 4 - Account list &amp; services</t>
  </si>
  <si>
    <t>Raison sociale client:</t>
  </si>
  <si>
    <t>Ref. Interne SGI</t>
  </si>
  <si>
    <t>Legend regarding the updates:</t>
  </si>
  <si>
    <t xml:space="preserve">Client type </t>
  </si>
  <si>
    <t>RMPM</t>
  </si>
  <si>
    <t>Pays:</t>
  </si>
  <si>
    <t>WF / ID</t>
  </si>
  <si>
    <t>Info connectivité :</t>
  </si>
  <si>
    <t>Contract version</t>
  </si>
  <si>
    <t>Auteur :</t>
  </si>
  <si>
    <t>Banque contractante</t>
  </si>
  <si>
    <t>Mise à jour</t>
  </si>
  <si>
    <t>PAYMENTS</t>
  </si>
  <si>
    <t>STATUS</t>
  </si>
  <si>
    <t>SERVICES</t>
  </si>
  <si>
    <r>
      <t>REPORTING</t>
    </r>
    <r>
      <rPr>
        <b/>
        <sz val="14"/>
        <color rgb="FF0070C0"/>
        <rFont val="BNPP Type"/>
      </rPr>
      <t xml:space="preserve"> (3)</t>
    </r>
  </si>
  <si>
    <t>Code NOP</t>
  </si>
  <si>
    <t>C30050</t>
  </si>
  <si>
    <t>S40065</t>
  </si>
  <si>
    <t>S40082</t>
  </si>
  <si>
    <t>B90000</t>
  </si>
  <si>
    <t>C30100</t>
  </si>
  <si>
    <t>/</t>
  </si>
  <si>
    <t>SEND PAYMENT/COLLECTION INSTRUCTION</t>
  </si>
  <si>
    <t>SIGN SEPA PAYMENT TOWARDS THIRD PARTY</t>
  </si>
  <si>
    <t>SIGN INTERNATIONAL PAYMENT TOWARDS THIRD PARTY</t>
  </si>
  <si>
    <t>RECEIVE TRANSACTION STATUS</t>
  </si>
  <si>
    <t>CHECK REACHABILITY</t>
  </si>
  <si>
    <t>LIST OF ACCOUNTS &amp; LATEST BALANCES</t>
  </si>
  <si>
    <t>LATEST BALANCES FOR 1 ACCOUNT</t>
  </si>
  <si>
    <t>TOTAL DEBIT &amp; CREDIT FOR 1 ACCOUNT PER DATE RANGE</t>
  </si>
  <si>
    <t>INTRADAYS FOR 1 ACCOUNT PER DATE RANGE</t>
  </si>
  <si>
    <t>TRANSACTIONS &amp; BALANCE FOR 1 ACCOUNT PER DATE RANGE</t>
  </si>
  <si>
    <t>Services:</t>
  </si>
  <si>
    <t>Formats:</t>
  </si>
  <si>
    <r>
      <t>Json/XML</t>
    </r>
    <r>
      <rPr>
        <b/>
        <sz val="12"/>
        <color rgb="FF0070C0"/>
        <rFont val="BNPP Type Light"/>
      </rPr>
      <t xml:space="preserve"> (4)</t>
    </r>
  </si>
  <si>
    <t>Json</t>
  </si>
  <si>
    <t>Status</t>
  </si>
  <si>
    <r>
      <t xml:space="preserve">Account Closed </t>
    </r>
    <r>
      <rPr>
        <b/>
        <sz val="12"/>
        <color rgb="FF0070C0"/>
        <rFont val="BNPP Type"/>
      </rPr>
      <t>(1)</t>
    </r>
  </si>
  <si>
    <t>Country</t>
  </si>
  <si>
    <t>Company</t>
  </si>
  <si>
    <t>Authority Letter</t>
  </si>
  <si>
    <t>Ccy</t>
  </si>
  <si>
    <t>BIC</t>
  </si>
  <si>
    <r>
      <t>IBAN</t>
    </r>
    <r>
      <rPr>
        <b/>
        <sz val="12"/>
        <color rgb="FF0070C0"/>
        <rFont val="BNPP Type"/>
      </rPr>
      <t xml:space="preserve"> (2)</t>
    </r>
  </si>
  <si>
    <t>Limit per tranx</t>
  </si>
  <si>
    <t>Added (A)</t>
  </si>
  <si>
    <t>Non (N)</t>
  </si>
  <si>
    <t>BE</t>
  </si>
  <si>
    <t>CENTER PARCS ARDENNEN NV</t>
  </si>
  <si>
    <t>4AAS425898</t>
  </si>
  <si>
    <t>To do</t>
  </si>
  <si>
    <t>EUR</t>
  </si>
  <si>
    <t>DEGRBEBBXXX</t>
  </si>
  <si>
    <t>BE45845003189989</t>
  </si>
  <si>
    <t>X</t>
  </si>
  <si>
    <t>n/a</t>
  </si>
  <si>
    <t>GEBABEBB36A</t>
  </si>
  <si>
    <t>BE82001258620668</t>
  </si>
  <si>
    <t>BE54001800261897</t>
  </si>
  <si>
    <t>NL</t>
  </si>
  <si>
    <t>CENTER PARCS EUROPE BV</t>
  </si>
  <si>
    <t>4AAH157307</t>
  </si>
  <si>
    <t>BE04845003543031</t>
  </si>
  <si>
    <t>DKK</t>
  </si>
  <si>
    <t>FTSBDKKKXXX</t>
  </si>
  <si>
    <t>DK5681491700689015</t>
  </si>
  <si>
    <t>BE68001787412734</t>
  </si>
  <si>
    <t>BE04001787412431</t>
  </si>
  <si>
    <t>Not Applicable</t>
  </si>
  <si>
    <t>BE60845003168670</t>
  </si>
  <si>
    <t>BE44001787452645</t>
  </si>
  <si>
    <t>BE59001787450726</t>
  </si>
  <si>
    <t>BE79001787451433</t>
  </si>
  <si>
    <t>BE13001258802039</t>
  </si>
  <si>
    <t>BE35001787451837</t>
  </si>
  <si>
    <t>FONCIERE LOISIRS VIELSALM SA</t>
  </si>
  <si>
    <t>4AAT879859</t>
  </si>
  <si>
    <t>BE44001781846045</t>
  </si>
  <si>
    <t>PIERRE &amp; VACANCES CENTER PARCS VASTGOED BELGIE BV</t>
  </si>
  <si>
    <t>4ABR372077</t>
  </si>
  <si>
    <t>BE24001859813938</t>
  </si>
  <si>
    <t>SUNPARKS LEISURE SA</t>
  </si>
  <si>
    <t>4AAM486082</t>
  </si>
  <si>
    <t>BE05845003207975</t>
  </si>
  <si>
    <t>BE91280040705176</t>
  </si>
  <si>
    <t>BE20280040286056</t>
  </si>
  <si>
    <t>BE60001787455170</t>
  </si>
  <si>
    <t>TERHILLS VAKANTIEPARK NV</t>
  </si>
  <si>
    <t>4ABC588356</t>
  </si>
  <si>
    <t>KREDBEBBXXX</t>
  </si>
  <si>
    <t>BE37735052122128</t>
  </si>
  <si>
    <t>BE36744098745181</t>
  </si>
  <si>
    <t>(1) To fill in if the statuts is "Suppressed (S)"</t>
  </si>
  <si>
    <t>(2) Populate the IBAN for Reporting</t>
  </si>
  <si>
    <t xml:space="preserve">(3) Nota Bene : Third party banks cannot be included in API Corporate channel </t>
  </si>
  <si>
    <t>(4) FCY: Foreign Currency</t>
  </si>
  <si>
    <t>DIRECT CONNECTIVITY  - API
SCHEDULE 6 - Fees &amp; Payment</t>
  </si>
  <si>
    <t>Fees that are charged monthly shall be calculated for a whole calendar month irrespective of the day of the month on which the relevant Operating Account is registered with or removed from the Services.  The Participating User authorises the Bank to debit its account directly (account details indicated below) and thus for the entire duration of the present Agreement. The fees shall be debited from the account indicated below designated during the month following the month in which the fees fall due.  
All fees and other payments payable by the Participating User to the Bank under this Agreement shall be made without any restriction, condition, set-off or counterclaim and shall be free and clear of any deduction or withholding on account of any tax or otherwise of whatsoever nature and howsoever arising (“Taxes”).  In the event that any Taxes are required to be deducted or withheld from any payment payable by the Participating User to the Bank, such payment shall be increased by such amount so as to ensure that the net amount received and retained by the Bank will be the full amount which the Bank would have received had no such deduction or withholding been made or required.</t>
  </si>
  <si>
    <t>Branch Code:</t>
  </si>
  <si>
    <t>Bank code:</t>
  </si>
  <si>
    <t>GEBABEBB</t>
  </si>
  <si>
    <t xml:space="preserve">IBAN: </t>
  </si>
  <si>
    <t xml:space="preserve">Fees : </t>
  </si>
  <si>
    <t>Implementation fee (one off)</t>
  </si>
  <si>
    <t>1.500 euro</t>
  </si>
  <si>
    <t>BNPP Group Accounts</t>
  </si>
  <si>
    <t>20 EUR / month</t>
  </si>
  <si>
    <t>3rd Bank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</si>
</sst>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1"/>
      <color theme="1"/>
      <name val="Calibri"/>
      <family val="2"/>
      <scheme val="minor"/>
    </font>
    <font>
      <sz val="10"/>
      <name val="Arial"/>
      <family val="2"/>
    </font>
    <font>
      <b/>
      <sz val="18"/>
      <name val="BNPP Type"/>
    </font>
    <font>
      <sz val="12"/>
      <name val="BNPP Type Light"/>
    </font>
    <font>
      <sz val="11"/>
      <color theme="1" tint="0.499984740745262"/>
      <name val="BNPP Type"/>
    </font>
    <font>
      <b/>
      <sz val="11"/>
      <color theme="1" tint="0.499984740745262"/>
      <name val="BNPP Type"/>
    </font>
    <font>
      <sz val="11"/>
      <name val="BNPP Type"/>
    </font>
    <font>
      <b/>
      <sz val="14"/>
      <name val="BNPP Type"/>
    </font>
    <font>
      <b/>
      <u/>
      <sz val="14"/>
      <name val="BNPP Type"/>
    </font>
    <font>
      <sz val="14"/>
      <name val="BNPP Type Light"/>
    </font>
    <font>
      <sz val="14"/>
      <name val="BNPP Type"/>
    </font>
    <font>
      <sz val="11"/>
      <name val="BNPP Type Light"/>
    </font>
    <font>
      <b/>
      <sz val="14"/>
      <name val="BNPP Type Light"/>
    </font>
    <font>
      <u/>
      <sz val="11"/>
      <color theme="10"/>
      <name val="Calibri"/>
      <family val="2"/>
      <scheme val="minor"/>
    </font>
    <font>
      <i/>
      <sz val="11"/>
      <color theme="0" tint="-0.499984740745262"/>
      <name val="BNPP Type Light"/>
    </font>
    <font>
      <i/>
      <sz val="11"/>
      <name val="BNPP Type Light"/>
    </font>
    <font>
      <b/>
      <sz val="12"/>
      <name val="BNPP Type"/>
    </font>
    <font>
      <i/>
      <sz val="11"/>
      <color theme="0" tint="-0.34998626667073579"/>
      <name val="BNPP Type Light"/>
    </font>
    <font>
      <b/>
      <u/>
      <sz val="11"/>
      <name val="BNPP Type Light"/>
    </font>
    <font>
      <b/>
      <sz val="11"/>
      <name val="BNPP Type Light"/>
    </font>
    <font>
      <sz val="11"/>
      <color indexed="8"/>
      <name val="Calibri"/>
      <family val="2"/>
    </font>
    <font>
      <u/>
      <sz val="11"/>
      <name val="BNPP Type Light"/>
    </font>
    <font>
      <strike/>
      <sz val="11"/>
      <name val="BNPP Type Light"/>
    </font>
    <font>
      <sz val="11"/>
      <color theme="1"/>
      <name val="BNPP Type Light"/>
    </font>
    <font>
      <sz val="11"/>
      <color rgb="FF00B0F0"/>
      <name val="BNPP Type Light"/>
    </font>
    <font>
      <u/>
      <sz val="11"/>
      <color theme="10"/>
      <name val="BNPP Type Light"/>
    </font>
    <font>
      <sz val="11"/>
      <color rgb="FFC00000"/>
      <name val="BNPP Type Light"/>
    </font>
    <font>
      <sz val="11"/>
      <color theme="0"/>
      <name val="BNPP Type Light"/>
    </font>
    <font>
      <sz val="11"/>
      <color theme="0" tint="-0.14999847407452621"/>
      <name val="BNPP Type Light"/>
    </font>
    <font>
      <b/>
      <sz val="20"/>
      <name val="BNPP Type"/>
    </font>
    <font>
      <b/>
      <sz val="20"/>
      <color theme="0" tint="-0.499984740745262"/>
      <name val="BNPP Type Light"/>
    </font>
    <font>
      <b/>
      <u/>
      <sz val="12"/>
      <name val="BNPP Type"/>
    </font>
    <font>
      <sz val="12"/>
      <name val="BNPP Type"/>
    </font>
    <font>
      <i/>
      <sz val="12"/>
      <color theme="0" tint="-0.499984740745262"/>
      <name val="BNPP Type Light"/>
    </font>
    <font>
      <sz val="12"/>
      <name val="Calibri"/>
      <family val="2"/>
    </font>
    <font>
      <b/>
      <sz val="12"/>
      <name val="Calibri"/>
      <family val="2"/>
      <scheme val="minor"/>
    </font>
    <font>
      <b/>
      <sz val="14"/>
      <color rgb="FF0070C0"/>
      <name val="BNPP Type"/>
    </font>
    <font>
      <b/>
      <sz val="12"/>
      <name val="BNPP Type Light"/>
    </font>
    <font>
      <sz val="12"/>
      <color theme="0" tint="-0.499984740745262"/>
      <name val="BNPP Type Light"/>
    </font>
    <font>
      <b/>
      <sz val="12"/>
      <color theme="0" tint="-0.499984740745262"/>
      <name val="BNPP Type Light"/>
    </font>
    <font>
      <b/>
      <sz val="12"/>
      <color theme="0" tint="-0.499984740745262"/>
      <name val="Calibri"/>
      <family val="2"/>
      <scheme val="minor"/>
    </font>
    <font>
      <sz val="12"/>
      <name val="Calibri"/>
      <family val="2"/>
      <scheme val="minor"/>
    </font>
    <font>
      <sz val="12"/>
      <color theme="0" tint="-0.34998626667073579"/>
      <name val="BNPP Type Light"/>
    </font>
    <font>
      <sz val="12"/>
      <color theme="0" tint="-0.249977111117893"/>
      <name val="BNPP Type Light"/>
    </font>
    <font>
      <sz val="12"/>
      <color theme="1"/>
      <name val="BNPP Type Light"/>
    </font>
    <font>
      <b/>
      <sz val="12"/>
      <color rgb="FF0070C0"/>
      <name val="BNPP Type Light"/>
    </font>
    <font>
      <b/>
      <sz val="12"/>
      <color rgb="FF0070C0"/>
      <name val="BNPP Type"/>
    </font>
    <font>
      <i/>
      <sz val="14"/>
      <color theme="0" tint="-0.34998626667073579"/>
      <name val="BNPP Type Light"/>
    </font>
    <font>
      <b/>
      <u/>
      <sz val="14"/>
      <name val="BNPP Type Light"/>
    </font>
    <font>
      <i/>
      <sz val="12"/>
      <color theme="0" tint="-0.34998626667073579"/>
      <name val="BNPP Type Light"/>
    </font>
    <font>
      <u/>
      <sz val="11"/>
      <color theme="0" tint="-0.499984740745262"/>
      <name val="BNPP Type Light"/>
    </font>
    <font>
      <sz val="11"/>
      <color theme="0" tint="-0.34998626667073579"/>
      <name val="BNPP Type Light"/>
    </font>
    <font>
      <b/>
      <sz val="11"/>
      <color theme="0" tint="-0.499984740745262"/>
      <name val="BNPP Type Light"/>
    </font>
    <font>
      <u/>
      <sz val="11"/>
      <color indexed="8"/>
      <name val="BNPP Type Light"/>
    </font>
    <font>
      <sz val="14"/>
      <color rgb="FF000000"/>
      <name val="BNPP Type Light"/>
    </font>
    <font>
      <sz val="10"/>
      <name val="BNPP Type Light"/>
    </font>
    <font>
      <i/>
      <sz val="10"/>
      <name val="BNPP Type Light"/>
    </font>
  </fonts>
  <fills count="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34998626667073579"/>
        <bgColor indexed="64"/>
      </patternFill>
    </fill>
    <fill>
      <patternFill patternType="solid">
        <fgColor indexed="9"/>
        <bgColor indexed="64"/>
      </patternFill>
    </fill>
    <fill>
      <patternFill patternType="solid">
        <fgColor theme="4" tint="0.79998168889431442"/>
        <bgColor indexed="64"/>
      </patternFill>
    </fill>
  </fills>
  <borders count="36">
    <border>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34998626667073579"/>
      </left>
      <right/>
      <top style="thin">
        <color theme="0" tint="-0.34998626667073579"/>
      </top>
      <bottom style="thin">
        <color theme="0" tint="-0.34998626667073579"/>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bottom style="medium">
        <color indexed="9"/>
      </bottom>
      <diagonal/>
    </border>
    <border>
      <left/>
      <right/>
      <top/>
      <bottom style="medium">
        <color indexed="9"/>
      </bottom>
      <diagonal/>
    </border>
    <border>
      <left style="thin">
        <color theme="0" tint="-0.14996795556505021"/>
      </left>
      <right style="thin">
        <color theme="0" tint="-0.14996795556505021"/>
      </right>
      <top/>
      <bottom/>
      <diagonal/>
    </border>
    <border>
      <left style="thin">
        <color theme="0" tint="-0.14996795556505021"/>
      </left>
      <right/>
      <top style="medium">
        <color indexed="9"/>
      </top>
      <bottom style="thin">
        <color theme="0" tint="-0.249977111117893"/>
      </bottom>
      <diagonal/>
    </border>
    <border>
      <left/>
      <right/>
      <top style="medium">
        <color indexed="9"/>
      </top>
      <bottom style="thin">
        <color theme="0" tint="-0.249977111117893"/>
      </bottom>
      <diagonal/>
    </border>
    <border>
      <left/>
      <right style="thin">
        <color theme="0" tint="-0.14996795556505021"/>
      </right>
      <top style="medium">
        <color indexed="9"/>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xf numFmtId="0" fontId="13" fillId="0" borderId="0" applyNumberFormat="0" applyFill="0" applyBorder="0" applyAlignment="0" applyProtection="0"/>
    <xf numFmtId="0" fontId="20" fillId="0" borderId="0"/>
    <xf numFmtId="0" fontId="1" fillId="0" borderId="0"/>
  </cellStyleXfs>
  <cellXfs count="230">
    <xf numFmtId="0" fontId="0" fillId="0" borderId="0" xfId="0"/>
    <xf numFmtId="0" fontId="3" fillId="0" borderId="0" xfId="1" applyFont="1" applyAlignment="1">
      <alignment vertical="center"/>
    </xf>
    <xf numFmtId="0" fontId="4" fillId="2" borderId="0" xfId="1" applyFont="1" applyFill="1" applyAlignment="1">
      <alignment horizontal="left" vertical="center" indent="1"/>
    </xf>
    <xf numFmtId="0" fontId="5" fillId="2" borderId="0" xfId="0" applyFont="1" applyFill="1" applyAlignment="1">
      <alignment horizontal="left"/>
    </xf>
    <xf numFmtId="0" fontId="4" fillId="2" borderId="0" xfId="1" applyFont="1" applyFill="1" applyAlignment="1">
      <alignment horizontal="left" vertical="center"/>
    </xf>
    <xf numFmtId="0" fontId="6" fillId="2" borderId="0" xfId="1" applyFont="1" applyFill="1" applyAlignment="1">
      <alignment vertical="center"/>
    </xf>
    <xf numFmtId="0" fontId="4" fillId="2" borderId="0" xfId="1" applyFont="1" applyFill="1" applyAlignment="1">
      <alignment horizontal="left" vertical="center" indent="2"/>
    </xf>
    <xf numFmtId="0" fontId="5" fillId="2" borderId="0" xfId="1" applyFont="1" applyFill="1" applyAlignment="1">
      <alignment horizontal="left" vertical="center" indent="1"/>
    </xf>
    <xf numFmtId="0" fontId="6" fillId="0" borderId="0" xfId="1" applyFont="1" applyAlignment="1">
      <alignment vertical="center"/>
    </xf>
    <xf numFmtId="14" fontId="5" fillId="2" borderId="0" xfId="1" applyNumberFormat="1" applyFont="1" applyFill="1" applyAlignment="1">
      <alignment horizontal="left" vertical="center" indent="1"/>
    </xf>
    <xf numFmtId="0" fontId="11" fillId="0" borderId="0" xfId="1" applyFont="1" applyAlignment="1">
      <alignment vertical="center"/>
    </xf>
    <xf numFmtId="0" fontId="5" fillId="2" borderId="0" xfId="1" applyFont="1" applyFill="1" applyAlignment="1">
      <alignment horizontal="left" vertical="center" indent="3"/>
    </xf>
    <xf numFmtId="0" fontId="4" fillId="2" borderId="0" xfId="1" applyFont="1" applyFill="1" applyAlignment="1">
      <alignment vertical="center"/>
    </xf>
    <xf numFmtId="14" fontId="5" fillId="2" borderId="0" xfId="1" applyNumberFormat="1" applyFont="1" applyFill="1" applyAlignment="1">
      <alignment horizontal="left" vertical="center" indent="3"/>
    </xf>
    <xf numFmtId="0" fontId="15" fillId="3" borderId="0" xfId="1" applyFont="1" applyFill="1" applyAlignment="1">
      <alignment vertical="center"/>
    </xf>
    <xf numFmtId="0" fontId="16" fillId="2" borderId="0" xfId="1" applyFont="1" applyFill="1" applyAlignment="1">
      <alignment vertical="center"/>
    </xf>
    <xf numFmtId="0" fontId="11" fillId="2" borderId="0" xfId="1" applyFont="1" applyFill="1" applyAlignment="1">
      <alignment vertical="center"/>
    </xf>
    <xf numFmtId="0" fontId="17" fillId="2" borderId="0" xfId="1" applyFont="1" applyFill="1" applyAlignment="1">
      <alignment horizontal="center" vertical="center"/>
    </xf>
    <xf numFmtId="0" fontId="18" fillId="2" borderId="0" xfId="1" applyFont="1" applyFill="1" applyAlignment="1">
      <alignment horizontal="left" vertical="center" indent="3"/>
    </xf>
    <xf numFmtId="0" fontId="11" fillId="0" borderId="0" xfId="1" applyFont="1" applyAlignment="1">
      <alignment horizontal="right" vertical="center"/>
    </xf>
    <xf numFmtId="0" fontId="19" fillId="0" borderId="0" xfId="1" applyFont="1"/>
    <xf numFmtId="0" fontId="17" fillId="0" borderId="0" xfId="1" applyFont="1" applyAlignment="1">
      <alignment horizontal="center" vertical="center"/>
    </xf>
    <xf numFmtId="0" fontId="11" fillId="0" borderId="0" xfId="1" applyFont="1" applyAlignment="1">
      <alignment horizontal="left" vertical="center"/>
    </xf>
    <xf numFmtId="0" fontId="11" fillId="0" borderId="0" xfId="1" applyFont="1"/>
    <xf numFmtId="0" fontId="11" fillId="0" borderId="0" xfId="1" applyFont="1" applyAlignment="1">
      <alignment horizontal="right" vertical="center" indent="2"/>
    </xf>
    <xf numFmtId="0" fontId="17" fillId="0" borderId="0" xfId="1" applyFont="1"/>
    <xf numFmtId="0" fontId="19" fillId="0" borderId="0" xfId="1" applyFont="1" applyAlignment="1">
      <alignment vertical="center"/>
    </xf>
    <xf numFmtId="0" fontId="11" fillId="0" borderId="0" xfId="1" applyFont="1" applyAlignment="1">
      <alignment horizontal="left" vertical="center" indent="8"/>
    </xf>
    <xf numFmtId="0" fontId="11" fillId="0" borderId="0" xfId="1" applyFont="1" applyAlignment="1">
      <alignment horizontal="left" vertical="center" indent="3"/>
    </xf>
    <xf numFmtId="0" fontId="11" fillId="3" borderId="0" xfId="1" applyFont="1" applyFill="1" applyAlignment="1">
      <alignment vertical="center"/>
    </xf>
    <xf numFmtId="0" fontId="19" fillId="0" borderId="0" xfId="1" applyFont="1" applyAlignment="1">
      <alignment vertical="center" wrapText="1"/>
    </xf>
    <xf numFmtId="0" fontId="21" fillId="3" borderId="0" xfId="3" applyFont="1" applyFill="1" applyAlignment="1">
      <alignment horizontal="left" indent="1"/>
    </xf>
    <xf numFmtId="0" fontId="19" fillId="0" borderId="11" xfId="1" applyFont="1" applyBorder="1" applyAlignment="1">
      <alignment vertical="center"/>
    </xf>
    <xf numFmtId="0" fontId="18" fillId="0" borderId="0" xfId="1" applyFont="1" applyAlignment="1">
      <alignment vertical="center"/>
    </xf>
    <xf numFmtId="0" fontId="11" fillId="4" borderId="12" xfId="1" applyFont="1" applyFill="1" applyBorder="1" applyAlignment="1">
      <alignment horizontal="left" vertical="center" indent="1"/>
    </xf>
    <xf numFmtId="0" fontId="11" fillId="3" borderId="0" xfId="1" applyFont="1" applyFill="1" applyAlignment="1">
      <alignment horizontal="left" vertical="center" indent="1"/>
    </xf>
    <xf numFmtId="0" fontId="18" fillId="2" borderId="0" xfId="1" applyFont="1" applyFill="1" applyAlignment="1">
      <alignment vertical="center"/>
    </xf>
    <xf numFmtId="0" fontId="11" fillId="0" borderId="0" xfId="0" applyFont="1" applyAlignment="1">
      <alignment vertical="center"/>
    </xf>
    <xf numFmtId="0" fontId="19" fillId="0" borderId="0" xfId="1" applyFont="1" applyAlignment="1">
      <alignment horizontal="left" vertical="center"/>
    </xf>
    <xf numFmtId="0" fontId="19" fillId="0" borderId="0" xfId="0" applyFont="1" applyAlignment="1">
      <alignment vertical="center"/>
    </xf>
    <xf numFmtId="0" fontId="23" fillId="0" borderId="0" xfId="0" applyFont="1" applyAlignment="1">
      <alignment vertical="center"/>
    </xf>
    <xf numFmtId="0" fontId="19" fillId="0" borderId="0" xfId="1" applyFont="1" applyAlignment="1">
      <alignment horizontal="center" vertical="center"/>
    </xf>
    <xf numFmtId="0" fontId="19" fillId="3" borderId="0" xfId="1" applyFont="1" applyFill="1" applyAlignment="1">
      <alignment horizontal="center" vertical="center"/>
    </xf>
    <xf numFmtId="0" fontId="24" fillId="0" borderId="0" xfId="1" applyFont="1" applyAlignment="1">
      <alignment horizontal="left" vertical="center"/>
    </xf>
    <xf numFmtId="0" fontId="11" fillId="0" borderId="0" xfId="1" applyFont="1" applyAlignment="1">
      <alignment horizontal="center" vertical="center"/>
    </xf>
    <xf numFmtId="0" fontId="11" fillId="3" borderId="0" xfId="1" applyFont="1" applyFill="1" applyAlignment="1">
      <alignment horizontal="center" vertical="center"/>
    </xf>
    <xf numFmtId="0" fontId="18" fillId="0" borderId="0" xfId="1" applyFont="1" applyAlignment="1">
      <alignment horizontal="left" vertical="center"/>
    </xf>
    <xf numFmtId="0" fontId="25" fillId="0" borderId="0" xfId="2" applyFont="1" applyFill="1" applyBorder="1" applyAlignment="1">
      <alignment vertical="center"/>
    </xf>
    <xf numFmtId="0" fontId="19" fillId="0" borderId="11" xfId="1" applyFont="1" applyBorder="1" applyAlignment="1">
      <alignment horizontal="center" vertical="center"/>
    </xf>
    <xf numFmtId="0" fontId="11" fillId="5" borderId="11" xfId="1" applyFont="1" applyFill="1" applyBorder="1" applyAlignment="1">
      <alignment horizontal="center" vertical="center"/>
    </xf>
    <xf numFmtId="0" fontId="26" fillId="0" borderId="0" xfId="1" applyFont="1" applyAlignment="1">
      <alignment horizontal="left" vertical="center"/>
    </xf>
    <xf numFmtId="0" fontId="11" fillId="0" borderId="11" xfId="1" applyFont="1" applyBorder="1" applyAlignment="1">
      <alignment horizontal="center" vertical="center" wrapText="1"/>
    </xf>
    <xf numFmtId="0" fontId="11" fillId="0" borderId="11" xfId="1" applyFont="1" applyBorder="1" applyAlignment="1">
      <alignment horizontal="center" vertical="center"/>
    </xf>
    <xf numFmtId="0" fontId="11" fillId="6" borderId="0" xfId="1" applyFont="1" applyFill="1" applyAlignment="1">
      <alignment vertical="center"/>
    </xf>
    <xf numFmtId="0" fontId="27" fillId="6" borderId="0" xfId="1" applyFont="1" applyFill="1" applyAlignment="1">
      <alignment vertical="center"/>
    </xf>
    <xf numFmtId="0" fontId="28" fillId="6" borderId="0" xfId="1" applyFont="1" applyFill="1" applyAlignment="1">
      <alignment vertical="center"/>
    </xf>
    <xf numFmtId="0" fontId="28" fillId="0" borderId="0" xfId="1" applyFont="1" applyAlignment="1">
      <alignment vertical="center"/>
    </xf>
    <xf numFmtId="0" fontId="27" fillId="0" borderId="0" xfId="1" applyFont="1" applyAlignment="1">
      <alignment vertical="center"/>
    </xf>
    <xf numFmtId="0" fontId="30" fillId="0" borderId="0" xfId="0" applyFont="1" applyAlignment="1">
      <alignment horizontal="center" vertical="center" wrapText="1"/>
    </xf>
    <xf numFmtId="0" fontId="5" fillId="2" borderId="0" xfId="1" applyFont="1" applyFill="1" applyAlignment="1">
      <alignment horizontal="left" vertical="center"/>
    </xf>
    <xf numFmtId="0" fontId="31" fillId="2" borderId="0" xfId="1" applyFont="1" applyFill="1" applyAlignment="1">
      <alignment horizontal="left" vertical="center"/>
    </xf>
    <xf numFmtId="0" fontId="32" fillId="2" borderId="0" xfId="1" applyFont="1" applyFill="1" applyAlignment="1">
      <alignment vertical="center"/>
    </xf>
    <xf numFmtId="0" fontId="6" fillId="2" borderId="0" xfId="1" applyFont="1" applyFill="1" applyAlignment="1">
      <alignment horizontal="center" vertical="center"/>
    </xf>
    <xf numFmtId="0" fontId="32" fillId="2" borderId="0" xfId="1" applyFont="1" applyFill="1" applyAlignment="1">
      <alignment horizontal="left" vertical="center"/>
    </xf>
    <xf numFmtId="0" fontId="32" fillId="2" borderId="0" xfId="1" applyFont="1" applyFill="1" applyAlignment="1">
      <alignment horizontal="center" vertical="center"/>
    </xf>
    <xf numFmtId="14" fontId="5" fillId="2" borderId="0" xfId="0" applyNumberFormat="1" applyFont="1" applyFill="1" applyAlignment="1">
      <alignment horizontal="left" vertical="center"/>
    </xf>
    <xf numFmtId="0" fontId="33" fillId="0" borderId="0" xfId="1" applyFont="1" applyAlignment="1">
      <alignment horizontal="center" vertical="center"/>
    </xf>
    <xf numFmtId="0" fontId="9" fillId="0" borderId="0" xfId="1" applyFont="1" applyAlignment="1">
      <alignment vertical="center"/>
    </xf>
    <xf numFmtId="0" fontId="7" fillId="4" borderId="18" xfId="3" applyFont="1" applyFill="1" applyBorder="1" applyAlignment="1">
      <alignment horizontal="center" vertical="center" wrapText="1"/>
    </xf>
    <xf numFmtId="0" fontId="34" fillId="0" borderId="0" xfId="1" applyFont="1" applyAlignment="1">
      <alignment vertical="center"/>
    </xf>
    <xf numFmtId="0" fontId="35" fillId="0" borderId="0" xfId="3" applyFont="1" applyAlignment="1">
      <alignment vertical="center" wrapText="1"/>
    </xf>
    <xf numFmtId="0" fontId="35" fillId="0" borderId="0" xfId="3" applyFont="1" applyAlignment="1">
      <alignment horizontal="center" vertical="center" wrapText="1"/>
    </xf>
    <xf numFmtId="0" fontId="3" fillId="0" borderId="0" xfId="1" applyFont="1" applyAlignment="1">
      <alignment horizontal="left" vertical="center" indent="2"/>
    </xf>
    <xf numFmtId="0" fontId="3" fillId="0" borderId="0" xfId="1" applyFont="1" applyAlignment="1">
      <alignment horizontal="left" vertical="center" indent="1"/>
    </xf>
    <xf numFmtId="0" fontId="37" fillId="0" borderId="0" xfId="1" applyFont="1" applyAlignment="1">
      <alignment horizontal="left" vertical="center" indent="1"/>
    </xf>
    <xf numFmtId="0" fontId="37" fillId="0" borderId="0" xfId="1" applyFont="1" applyAlignment="1">
      <alignment horizontal="left" vertical="center"/>
    </xf>
    <xf numFmtId="0" fontId="38" fillId="0" borderId="0" xfId="0" applyFont="1" applyAlignment="1">
      <alignment horizontal="right" vertical="center" wrapText="1"/>
    </xf>
    <xf numFmtId="0" fontId="39" fillId="4" borderId="20" xfId="3" applyFont="1" applyFill="1" applyBorder="1" applyAlignment="1">
      <alignment horizontal="center" vertical="center" wrapText="1"/>
    </xf>
    <xf numFmtId="0" fontId="3" fillId="0" borderId="0" xfId="1" applyFont="1" applyAlignment="1">
      <alignment horizontal="center" vertical="center"/>
    </xf>
    <xf numFmtId="0" fontId="39" fillId="0" borderId="0" xfId="3" applyFont="1" applyAlignment="1">
      <alignment horizontal="center" vertical="center" wrapText="1"/>
    </xf>
    <xf numFmtId="0" fontId="40" fillId="0" borderId="0" xfId="3" applyFont="1" applyAlignment="1">
      <alignment horizontal="center" vertical="center" wrapText="1"/>
    </xf>
    <xf numFmtId="0" fontId="3" fillId="0" borderId="0" xfId="1" applyFont="1" applyAlignment="1">
      <alignment horizontal="center"/>
    </xf>
    <xf numFmtId="0" fontId="3" fillId="0" borderId="0" xfId="3" applyFont="1" applyAlignment="1">
      <alignment horizontal="center" textRotation="90" wrapText="1"/>
    </xf>
    <xf numFmtId="0" fontId="41" fillId="0" borderId="0" xfId="3" applyFont="1" applyAlignment="1">
      <alignment horizontal="center" textRotation="90" wrapText="1"/>
    </xf>
    <xf numFmtId="0" fontId="42" fillId="0" borderId="0" xfId="0" applyFont="1" applyAlignment="1">
      <alignment vertical="center" wrapText="1"/>
    </xf>
    <xf numFmtId="0" fontId="43" fillId="0" borderId="0" xfId="1" applyFont="1" applyAlignment="1">
      <alignment horizontal="left" vertical="center" indent="1"/>
    </xf>
    <xf numFmtId="0" fontId="3" fillId="3" borderId="0" xfId="3" applyFont="1" applyFill="1" applyAlignment="1">
      <alignment horizontal="center" wrapText="1"/>
    </xf>
    <xf numFmtId="0" fontId="44" fillId="0" borderId="0" xfId="0" applyFont="1" applyAlignment="1">
      <alignment horizontal="left" indent="1"/>
    </xf>
    <xf numFmtId="0" fontId="3" fillId="0" borderId="0" xfId="1" applyFont="1" applyAlignment="1">
      <alignment horizontal="left" vertical="center"/>
    </xf>
    <xf numFmtId="0" fontId="42" fillId="0" borderId="0" xfId="0" applyFont="1" applyAlignment="1">
      <alignment horizontal="left" vertical="center" wrapText="1"/>
    </xf>
    <xf numFmtId="0" fontId="37" fillId="0" borderId="0" xfId="0" applyFont="1" applyAlignment="1">
      <alignment vertical="center" wrapText="1"/>
    </xf>
    <xf numFmtId="0" fontId="3" fillId="7" borderId="0" xfId="0" applyFont="1" applyFill="1" applyAlignment="1">
      <alignment horizontal="center" vertical="center"/>
    </xf>
    <xf numFmtId="0" fontId="3" fillId="3" borderId="17" xfId="3" applyFont="1" applyFill="1" applyBorder="1" applyAlignment="1">
      <alignment horizontal="center" vertical="center" wrapText="1"/>
    </xf>
    <xf numFmtId="0" fontId="3" fillId="3" borderId="0" xfId="3" applyFont="1" applyFill="1" applyAlignment="1">
      <alignment horizontal="center" vertical="center" wrapText="1"/>
    </xf>
    <xf numFmtId="0" fontId="3" fillId="0" borderId="0" xfId="3" applyFont="1" applyAlignment="1">
      <alignment horizontal="center" vertical="center" wrapText="1"/>
    </xf>
    <xf numFmtId="0" fontId="32" fillId="0" borderId="0" xfId="1" applyFont="1" applyAlignment="1">
      <alignment vertical="center"/>
    </xf>
    <xf numFmtId="0" fontId="16" fillId="4" borderId="17" xfId="3" applyFont="1" applyFill="1" applyBorder="1" applyAlignment="1">
      <alignment horizontal="center" vertical="center" wrapText="1"/>
    </xf>
    <xf numFmtId="0" fontId="16" fillId="4" borderId="20" xfId="3" applyFont="1" applyFill="1" applyBorder="1" applyAlignment="1">
      <alignment horizontal="center" vertical="center" wrapText="1"/>
    </xf>
    <xf numFmtId="0" fontId="32" fillId="0" borderId="0" xfId="1" applyFont="1" applyAlignment="1">
      <alignment horizontal="center" vertical="center"/>
    </xf>
    <xf numFmtId="0" fontId="16" fillId="0" borderId="0" xfId="3" applyFont="1" applyAlignment="1">
      <alignment horizontal="center" vertical="center" wrapText="1"/>
    </xf>
    <xf numFmtId="0" fontId="16" fillId="3" borderId="0" xfId="3" applyFont="1" applyFill="1" applyAlignment="1">
      <alignment horizontal="center" vertical="center" wrapText="1"/>
    </xf>
    <xf numFmtId="0" fontId="6" fillId="4" borderId="20" xfId="3" applyFont="1" applyFill="1" applyBorder="1" applyAlignment="1">
      <alignment horizontal="center" vertical="center" wrapText="1"/>
    </xf>
    <xf numFmtId="0" fontId="32" fillId="0" borderId="0" xfId="3" applyFont="1" applyAlignment="1">
      <alignment horizontal="center" textRotation="90" wrapText="1"/>
    </xf>
    <xf numFmtId="0" fontId="3" fillId="0" borderId="17" xfId="3" applyFont="1" applyBorder="1" applyAlignment="1">
      <alignment horizontal="center" vertical="center" wrapText="1"/>
    </xf>
    <xf numFmtId="0" fontId="3" fillId="0" borderId="17" xfId="3" applyFont="1" applyBorder="1" applyAlignment="1">
      <alignment horizontal="left" vertical="center" wrapText="1"/>
    </xf>
    <xf numFmtId="0" fontId="3" fillId="0" borderId="17" xfId="3" applyFont="1" applyBorder="1" applyAlignment="1">
      <alignment textRotation="90" wrapText="1"/>
    </xf>
    <xf numFmtId="0" fontId="3" fillId="0" borderId="0" xfId="3" applyFont="1" applyAlignment="1">
      <alignment horizontal="center" wrapText="1"/>
    </xf>
    <xf numFmtId="0" fontId="3" fillId="0" borderId="0" xfId="0" applyFont="1" applyAlignment="1">
      <alignment horizontal="center" textRotation="90" wrapText="1"/>
    </xf>
    <xf numFmtId="0" fontId="3" fillId="8" borderId="26" xfId="3" applyFont="1" applyFill="1" applyBorder="1" applyAlignment="1">
      <alignment horizontal="center" vertical="center" wrapText="1"/>
    </xf>
    <xf numFmtId="0" fontId="3" fillId="8" borderId="26" xfId="3" applyFont="1" applyFill="1" applyBorder="1" applyAlignment="1">
      <alignment horizontal="left" vertical="center" wrapText="1"/>
    </xf>
    <xf numFmtId="0" fontId="3" fillId="8" borderId="26" xfId="3" applyFont="1" applyFill="1" applyBorder="1" applyAlignment="1">
      <alignment textRotation="90" wrapText="1"/>
    </xf>
    <xf numFmtId="0" fontId="3" fillId="8" borderId="17" xfId="3" applyFont="1" applyFill="1" applyBorder="1" applyAlignment="1">
      <alignment horizontal="center" vertical="center" wrapText="1"/>
    </xf>
    <xf numFmtId="0" fontId="3" fillId="8" borderId="17" xfId="3" applyFont="1" applyFill="1" applyBorder="1" applyAlignment="1">
      <alignment horizontal="left" vertical="center" wrapText="1"/>
    </xf>
    <xf numFmtId="0" fontId="3" fillId="8" borderId="17" xfId="3" applyFont="1" applyFill="1" applyBorder="1" applyAlignment="1">
      <alignment textRotation="90" wrapText="1"/>
    </xf>
    <xf numFmtId="0" fontId="3" fillId="5" borderId="17" xfId="3" applyFont="1" applyFill="1" applyBorder="1" applyAlignment="1">
      <alignment horizontal="center" vertical="center" wrapText="1"/>
    </xf>
    <xf numFmtId="0" fontId="3" fillId="5" borderId="17" xfId="3" applyFont="1" applyFill="1" applyBorder="1" applyAlignment="1">
      <alignment horizontal="left" vertical="center" wrapText="1"/>
    </xf>
    <xf numFmtId="0" fontId="3" fillId="5" borderId="0" xfId="3" applyFont="1" applyFill="1" applyAlignment="1">
      <alignment horizontal="center" textRotation="90" wrapText="1"/>
    </xf>
    <xf numFmtId="0" fontId="3" fillId="5" borderId="17" xfId="3" applyFont="1" applyFill="1" applyBorder="1" applyAlignment="1">
      <alignment textRotation="90" wrapText="1"/>
    </xf>
    <xf numFmtId="0" fontId="44" fillId="0" borderId="0" xfId="0" applyFont="1"/>
    <xf numFmtId="0" fontId="11" fillId="0" borderId="0" xfId="1" applyFont="1" applyAlignment="1">
      <alignment vertical="center" wrapText="1"/>
    </xf>
    <xf numFmtId="14" fontId="5" fillId="2" borderId="0" xfId="1" applyNumberFormat="1" applyFont="1" applyFill="1" applyAlignment="1">
      <alignment horizontal="left" vertical="center"/>
    </xf>
    <xf numFmtId="0" fontId="7" fillId="2" borderId="0" xfId="1" applyFont="1" applyFill="1" applyAlignment="1">
      <alignment vertical="center"/>
    </xf>
    <xf numFmtId="0" fontId="9" fillId="2" borderId="0" xfId="1" applyFont="1" applyFill="1" applyAlignment="1">
      <alignment vertical="center"/>
    </xf>
    <xf numFmtId="0" fontId="47" fillId="2" borderId="0" xfId="1" applyFont="1" applyFill="1" applyAlignment="1">
      <alignment horizontal="center" vertical="center"/>
    </xf>
    <xf numFmtId="0" fontId="48" fillId="2" borderId="0" xfId="1" applyFont="1" applyFill="1" applyAlignment="1">
      <alignment horizontal="left" vertical="center" indent="3"/>
    </xf>
    <xf numFmtId="0" fontId="3" fillId="0" borderId="0" xfId="1" applyFont="1" applyAlignment="1">
      <alignment horizontal="right" vertical="center"/>
    </xf>
    <xf numFmtId="0" fontId="37" fillId="0" borderId="0" xfId="1" applyFont="1"/>
    <xf numFmtId="0" fontId="49" fillId="0" borderId="0" xfId="1" applyFont="1" applyAlignment="1">
      <alignment horizontal="center" vertical="center"/>
    </xf>
    <xf numFmtId="0" fontId="3" fillId="0" borderId="0" xfId="1" applyFont="1"/>
    <xf numFmtId="0" fontId="49" fillId="0" borderId="0" xfId="1" applyFont="1"/>
    <xf numFmtId="0" fontId="37" fillId="0" borderId="0" xfId="1" applyFont="1" applyAlignment="1">
      <alignment vertical="center"/>
    </xf>
    <xf numFmtId="0" fontId="9" fillId="0" borderId="0" xfId="1" applyFont="1" applyAlignment="1">
      <alignment horizontal="left" vertical="center" indent="3"/>
    </xf>
    <xf numFmtId="0" fontId="47" fillId="0" borderId="0" xfId="1" applyFont="1" applyAlignment="1">
      <alignment horizontal="center" vertical="center"/>
    </xf>
    <xf numFmtId="0" fontId="9" fillId="0" borderId="0" xfId="1" applyFont="1" applyAlignment="1">
      <alignment horizontal="left" vertical="center" indent="4"/>
    </xf>
    <xf numFmtId="0" fontId="12" fillId="0" borderId="0" xfId="1" applyFont="1" applyAlignment="1">
      <alignment horizontal="left" vertical="center"/>
    </xf>
    <xf numFmtId="0" fontId="50" fillId="0" borderId="0" xfId="0" applyFont="1"/>
    <xf numFmtId="0" fontId="23" fillId="0" borderId="0" xfId="0" applyFont="1"/>
    <xf numFmtId="0" fontId="51" fillId="0" borderId="0" xfId="0" applyFont="1" applyAlignment="1">
      <alignment vertical="center" wrapText="1"/>
    </xf>
    <xf numFmtId="0" fontId="14" fillId="0" borderId="0" xfId="0" applyFont="1" applyAlignment="1">
      <alignment horizontal="right" vertical="center" wrapText="1"/>
    </xf>
    <xf numFmtId="0" fontId="52" fillId="0" borderId="0" xfId="3" applyFont="1" applyAlignment="1">
      <alignment horizontal="center" vertical="center" wrapText="1"/>
    </xf>
    <xf numFmtId="0" fontId="11" fillId="7" borderId="0" xfId="0" applyFont="1" applyFill="1" applyAlignment="1">
      <alignment horizontal="left" vertical="center" indent="2"/>
    </xf>
    <xf numFmtId="0" fontId="11" fillId="0" borderId="0" xfId="0" applyFont="1"/>
    <xf numFmtId="0" fontId="11" fillId="0" borderId="0" xfId="3" applyFont="1" applyAlignment="1">
      <alignment textRotation="90" wrapText="1"/>
    </xf>
    <xf numFmtId="0" fontId="9" fillId="0" borderId="0" xfId="1" applyFont="1" applyAlignment="1">
      <alignment horizontal="left" vertical="top" wrapText="1" indent="1"/>
    </xf>
    <xf numFmtId="0" fontId="9" fillId="0" borderId="0" xfId="1" applyFont="1"/>
    <xf numFmtId="0" fontId="9" fillId="0" borderId="11" xfId="1" applyFont="1" applyBorder="1"/>
    <xf numFmtId="0" fontId="53" fillId="0" borderId="0" xfId="3" applyFont="1"/>
    <xf numFmtId="0" fontId="54" fillId="0" borderId="11" xfId="0" applyFont="1" applyBorder="1"/>
    <xf numFmtId="0" fontId="9" fillId="0" borderId="11" xfId="3" applyFont="1" applyBorder="1" applyAlignment="1">
      <alignment horizontal="left" vertical="center" wrapText="1" indent="1"/>
    </xf>
    <xf numFmtId="0" fontId="9" fillId="0" borderId="0" xfId="1" applyFont="1" applyAlignment="1">
      <alignment vertical="center" wrapText="1"/>
    </xf>
    <xf numFmtId="0" fontId="9" fillId="5" borderId="11" xfId="3" applyFont="1" applyFill="1" applyBorder="1" applyAlignment="1">
      <alignment horizontal="left" vertical="center" wrapText="1" indent="1"/>
    </xf>
    <xf numFmtId="0" fontId="48" fillId="0" borderId="0" xfId="1" applyFont="1" applyAlignment="1">
      <alignment horizontal="left" vertical="center"/>
    </xf>
    <xf numFmtId="0" fontId="9" fillId="0" borderId="35" xfId="1" applyFont="1" applyBorder="1" applyAlignment="1">
      <alignment horizontal="right"/>
    </xf>
    <xf numFmtId="0" fontId="9" fillId="0" borderId="35" xfId="1" applyFont="1" applyBorder="1"/>
    <xf numFmtId="0" fontId="53" fillId="0" borderId="0" xfId="3" applyFont="1" applyAlignment="1">
      <alignment vertical="center"/>
    </xf>
    <xf numFmtId="0" fontId="11" fillId="7" borderId="0" xfId="4" applyFont="1" applyFill="1"/>
    <xf numFmtId="0" fontId="11" fillId="3" borderId="0" xfId="4" applyFont="1" applyFill="1"/>
    <xf numFmtId="0" fontId="15" fillId="3" borderId="0" xfId="4" applyFont="1" applyFill="1"/>
    <xf numFmtId="49" fontId="11" fillId="7" borderId="0" xfId="4" applyNumberFormat="1" applyFont="1" applyFill="1"/>
    <xf numFmtId="49" fontId="55" fillId="7" borderId="0" xfId="4" applyNumberFormat="1" applyFont="1" applyFill="1"/>
    <xf numFmtId="0" fontId="55" fillId="7" borderId="0" xfId="4" applyFont="1" applyFill="1"/>
    <xf numFmtId="0" fontId="56" fillId="7" borderId="0" xfId="4" applyFont="1" applyFill="1"/>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0" xfId="1" applyFont="1" applyAlignment="1">
      <alignment horizontal="center" vertical="center" wrapText="1"/>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7" fillId="0" borderId="0" xfId="1" applyFont="1" applyAlignment="1">
      <alignment horizontal="left" vertical="top" wrapText="1" indent="1"/>
    </xf>
    <xf numFmtId="0" fontId="10" fillId="0" borderId="0" xfId="1" applyFont="1" applyAlignment="1">
      <alignment horizontal="left" vertical="top" indent="1"/>
    </xf>
    <xf numFmtId="0" fontId="9" fillId="0" borderId="0" xfId="1" applyFont="1" applyAlignment="1">
      <alignment horizontal="left" vertical="top" wrapText="1"/>
    </xf>
    <xf numFmtId="0" fontId="11" fillId="0" borderId="9" xfId="1" applyFont="1" applyBorder="1" applyAlignment="1">
      <alignment horizontal="center" vertical="center"/>
    </xf>
    <xf numFmtId="0" fontId="11" fillId="0" borderId="10" xfId="1" applyFont="1" applyBorder="1" applyAlignment="1">
      <alignment horizontal="center" vertical="center"/>
    </xf>
    <xf numFmtId="0" fontId="11" fillId="0" borderId="11" xfId="1" applyFont="1" applyBorder="1" applyAlignment="1">
      <alignment horizontal="center" vertical="center"/>
    </xf>
    <xf numFmtId="0" fontId="19" fillId="0" borderId="9" xfId="1" applyFont="1" applyBorder="1" applyAlignment="1">
      <alignment horizontal="center" vertical="center"/>
    </xf>
    <xf numFmtId="0" fontId="19" fillId="0" borderId="10" xfId="1" applyFont="1" applyBorder="1" applyAlignment="1">
      <alignment horizontal="center" vertical="center"/>
    </xf>
    <xf numFmtId="0" fontId="19" fillId="0" borderId="11" xfId="1" applyFont="1" applyBorder="1" applyAlignment="1">
      <alignment horizontal="center" vertical="center"/>
    </xf>
    <xf numFmtId="0" fontId="25" fillId="0" borderId="11" xfId="2" applyFont="1" applyBorder="1" applyAlignment="1">
      <alignment horizontal="center" vertical="center"/>
    </xf>
    <xf numFmtId="0" fontId="11" fillId="0" borderId="9" xfId="1" quotePrefix="1" applyFont="1" applyBorder="1" applyAlignment="1">
      <alignment horizontal="center" vertical="center"/>
    </xf>
    <xf numFmtId="0" fontId="13" fillId="0" borderId="11" xfId="2" applyFill="1" applyBorder="1" applyAlignment="1">
      <alignment horizontal="center" vertical="center"/>
    </xf>
    <xf numFmtId="0" fontId="11" fillId="5" borderId="9" xfId="1" applyFont="1" applyFill="1" applyBorder="1" applyAlignment="1">
      <alignment horizontal="center" vertical="center"/>
    </xf>
    <xf numFmtId="0" fontId="11" fillId="5" borderId="10" xfId="1" applyFont="1" applyFill="1" applyBorder="1" applyAlignment="1">
      <alignment horizontal="center" vertical="center"/>
    </xf>
    <xf numFmtId="0" fontId="25" fillId="5" borderId="11" xfId="2" applyFont="1" applyFill="1" applyBorder="1" applyAlignment="1">
      <alignment horizontal="center" vertical="center"/>
    </xf>
    <xf numFmtId="0" fontId="11" fillId="5" borderId="11" xfId="1" applyFont="1" applyFill="1" applyBorder="1" applyAlignment="1">
      <alignment horizontal="center" vertical="center"/>
    </xf>
    <xf numFmtId="0" fontId="25" fillId="0" borderId="0" xfId="2" applyFont="1" applyFill="1" applyBorder="1" applyAlignment="1">
      <alignment horizontal="left" vertical="center"/>
    </xf>
    <xf numFmtId="0" fontId="19" fillId="0" borderId="0" xfId="1" applyFont="1" applyAlignment="1">
      <alignment horizontal="center" vertical="center"/>
    </xf>
    <xf numFmtId="0" fontId="11" fillId="0" borderId="0" xfId="1" applyFont="1" applyAlignment="1">
      <alignment horizontal="left" vertical="top" wrapText="1"/>
    </xf>
    <xf numFmtId="0" fontId="11" fillId="0" borderId="9" xfId="1" applyFont="1" applyBorder="1" applyAlignment="1">
      <alignment horizontal="left" vertical="center" indent="1"/>
    </xf>
    <xf numFmtId="0" fontId="11" fillId="0" borderId="13" xfId="1" applyFont="1" applyBorder="1" applyAlignment="1">
      <alignment horizontal="left" vertical="center" indent="1"/>
    </xf>
    <xf numFmtId="0" fontId="11" fillId="0" borderId="10" xfId="1" applyFont="1" applyBorder="1" applyAlignment="1">
      <alignment horizontal="left" vertical="center" indent="1"/>
    </xf>
    <xf numFmtId="0" fontId="11" fillId="0" borderId="0" xfId="1" applyFont="1" applyAlignment="1">
      <alignment horizontal="left" vertical="center"/>
    </xf>
    <xf numFmtId="0" fontId="19" fillId="0" borderId="0" xfId="1" applyFont="1" applyAlignment="1">
      <alignment horizontal="left" vertical="center"/>
    </xf>
    <xf numFmtId="0" fontId="11" fillId="0" borderId="0" xfId="0" applyFont="1" applyAlignment="1">
      <alignment horizontal="left" vertical="center"/>
    </xf>
    <xf numFmtId="0" fontId="11" fillId="5" borderId="9" xfId="1" applyFont="1" applyFill="1" applyBorder="1" applyAlignment="1">
      <alignment horizontal="left" vertical="center" indent="1"/>
    </xf>
    <xf numFmtId="0" fontId="11" fillId="5" borderId="13" xfId="1" applyFont="1" applyFill="1" applyBorder="1" applyAlignment="1">
      <alignment horizontal="left" vertical="center" indent="1"/>
    </xf>
    <xf numFmtId="0" fontId="11" fillId="5" borderId="10" xfId="1" applyFont="1" applyFill="1" applyBorder="1" applyAlignment="1">
      <alignment horizontal="left" vertical="center" indent="1"/>
    </xf>
    <xf numFmtId="0" fontId="11" fillId="5" borderId="14" xfId="1" applyFont="1" applyFill="1" applyBorder="1" applyAlignment="1">
      <alignment horizontal="left" vertical="center" indent="1"/>
    </xf>
    <xf numFmtId="0" fontId="11" fillId="5" borderId="15" xfId="1" applyFont="1" applyFill="1" applyBorder="1" applyAlignment="1">
      <alignment horizontal="left" vertical="center" indent="1"/>
    </xf>
    <xf numFmtId="0" fontId="11" fillId="5" borderId="16" xfId="1" applyFont="1" applyFill="1" applyBorder="1" applyAlignment="1">
      <alignment horizontal="left" vertical="center" indent="1"/>
    </xf>
    <xf numFmtId="0" fontId="14" fillId="3" borderId="0" xfId="1" applyFont="1" applyFill="1" applyAlignment="1">
      <alignment horizontal="center" vertical="center"/>
    </xf>
    <xf numFmtId="0" fontId="19" fillId="4" borderId="9" xfId="1" applyFont="1" applyFill="1" applyBorder="1" applyAlignment="1">
      <alignment horizontal="center" vertical="center"/>
    </xf>
    <xf numFmtId="0" fontId="19" fillId="4" borderId="10" xfId="1" applyFont="1" applyFill="1" applyBorder="1" applyAlignment="1">
      <alignment horizontal="center" vertical="center"/>
    </xf>
    <xf numFmtId="0" fontId="11" fillId="2" borderId="9" xfId="1" applyFont="1" applyFill="1" applyBorder="1" applyAlignment="1">
      <alignment horizontal="center" vertical="center" wrapText="1"/>
    </xf>
    <xf numFmtId="0" fontId="11" fillId="2" borderId="10" xfId="1" applyFont="1" applyFill="1" applyBorder="1" applyAlignment="1">
      <alignment horizontal="center" vertical="center" wrapText="1"/>
    </xf>
    <xf numFmtId="0" fontId="3" fillId="0" borderId="24" xfId="3" applyFont="1" applyBorder="1" applyAlignment="1">
      <alignment horizontal="center" textRotation="90" wrapText="1"/>
    </xf>
    <xf numFmtId="0" fontId="3" fillId="0" borderId="25" xfId="3" applyFont="1" applyBorder="1" applyAlignment="1">
      <alignment horizontal="center" textRotation="90" wrapText="1"/>
    </xf>
    <xf numFmtId="0" fontId="3" fillId="0" borderId="26" xfId="3" applyFont="1" applyBorder="1" applyAlignment="1">
      <alignment horizontal="center" textRotation="90" wrapText="1"/>
    </xf>
    <xf numFmtId="0" fontId="3" fillId="0" borderId="0" xfId="1" applyFont="1" applyAlignment="1">
      <alignment horizontal="center" vertical="center"/>
    </xf>
    <xf numFmtId="0" fontId="29" fillId="0" borderId="17" xfId="0" applyFont="1" applyBorder="1" applyAlignment="1">
      <alignment horizontal="center" vertical="center" wrapText="1"/>
    </xf>
    <xf numFmtId="14" fontId="5" fillId="2" borderId="0" xfId="0" applyNumberFormat="1" applyFont="1" applyFill="1" applyAlignment="1">
      <alignment horizontal="left" vertical="center"/>
    </xf>
    <xf numFmtId="0" fontId="33" fillId="0" borderId="0" xfId="1" applyFont="1" applyAlignment="1">
      <alignment horizontal="center" vertical="center"/>
    </xf>
    <xf numFmtId="0" fontId="7" fillId="4" borderId="18" xfId="3" applyFont="1" applyFill="1" applyBorder="1" applyAlignment="1">
      <alignment horizontal="center" vertical="center" wrapText="1"/>
    </xf>
    <xf numFmtId="0" fontId="7" fillId="4" borderId="19" xfId="3" applyFont="1" applyFill="1" applyBorder="1" applyAlignment="1">
      <alignment horizontal="center" vertical="center" wrapText="1"/>
    </xf>
    <xf numFmtId="0" fontId="39" fillId="4" borderId="21" xfId="3" applyFont="1" applyFill="1" applyBorder="1" applyAlignment="1">
      <alignment horizontal="center" vertical="center" wrapText="1"/>
    </xf>
    <xf numFmtId="0" fontId="39" fillId="4" borderId="22" xfId="3" applyFont="1" applyFill="1" applyBorder="1" applyAlignment="1">
      <alignment horizontal="center" vertical="center" wrapText="1"/>
    </xf>
    <xf numFmtId="0" fontId="39" fillId="4" borderId="23" xfId="3" applyFont="1" applyFill="1" applyBorder="1" applyAlignment="1">
      <alignment horizontal="center" vertical="center" wrapText="1"/>
    </xf>
    <xf numFmtId="0" fontId="29" fillId="0" borderId="27" xfId="1" applyFont="1" applyBorder="1" applyAlignment="1">
      <alignment horizontal="center" vertical="center" wrapText="1"/>
    </xf>
    <xf numFmtId="0" fontId="29" fillId="0" borderId="28" xfId="1" applyFont="1" applyBorder="1" applyAlignment="1">
      <alignment horizontal="center" vertical="center"/>
    </xf>
    <xf numFmtId="0" fontId="29" fillId="0" borderId="29" xfId="1" applyFont="1" applyBorder="1" applyAlignment="1">
      <alignment horizontal="center" vertical="center"/>
    </xf>
    <xf numFmtId="0" fontId="29" fillId="0" borderId="30" xfId="1" applyFont="1" applyBorder="1" applyAlignment="1">
      <alignment horizontal="center" vertical="center"/>
    </xf>
    <xf numFmtId="0" fontId="29" fillId="0" borderId="0" xfId="1" applyFont="1" applyAlignment="1">
      <alignment horizontal="center" vertical="center"/>
    </xf>
    <xf numFmtId="0" fontId="29" fillId="0" borderId="31" xfId="1" applyFont="1" applyBorder="1" applyAlignment="1">
      <alignment horizontal="center" vertical="center"/>
    </xf>
    <xf numFmtId="0" fontId="29" fillId="0" borderId="32" xfId="1" applyFont="1" applyBorder="1" applyAlignment="1">
      <alignment horizontal="center" vertical="center"/>
    </xf>
    <xf numFmtId="0" fontId="29" fillId="0" borderId="33" xfId="1" applyFont="1" applyBorder="1" applyAlignment="1">
      <alignment horizontal="center" vertical="center"/>
    </xf>
    <xf numFmtId="0" fontId="29" fillId="0" borderId="34" xfId="1" applyFont="1" applyBorder="1" applyAlignment="1">
      <alignment horizontal="center" vertical="center"/>
    </xf>
    <xf numFmtId="0" fontId="14" fillId="0" borderId="0" xfId="1" applyFont="1" applyAlignment="1">
      <alignment horizontal="center" vertical="center"/>
    </xf>
    <xf numFmtId="0" fontId="9" fillId="0" borderId="0" xfId="1" applyFont="1" applyAlignment="1">
      <alignment horizontal="left" vertical="top" wrapText="1" indent="1"/>
    </xf>
  </cellXfs>
  <cellStyles count="5">
    <cellStyle name="Lien hypertexte" xfId="2" builtinId="8"/>
    <cellStyle name="Normal" xfId="0" builtinId="0"/>
    <cellStyle name="Normal 2" xfId="1" xr:uid="{9D2F8442-D0C9-437B-ACBD-824F78875B05}"/>
    <cellStyle name="Normal 6" xfId="4" xr:uid="{6C6E9819-0811-4545-950F-33697E45C8B4}"/>
    <cellStyle name="Normal_Looping_Dashboard_2012-10-16" xfId="3" xr:uid="{C7CBEFD4-50D3-4752-B498-DB9A19F193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1019175</xdr:colOff>
      <xdr:row>0</xdr:row>
      <xdr:rowOff>0</xdr:rowOff>
    </xdr:from>
    <xdr:ext cx="0" cy="723900"/>
    <xdr:pic>
      <xdr:nvPicPr>
        <xdr:cNvPr id="2" name="Picture 13" descr="American_Express_card_logo">
          <a:extLst>
            <a:ext uri="{FF2B5EF4-FFF2-40B4-BE49-F238E27FC236}">
              <a16:creationId xmlns:a16="http://schemas.microsoft.com/office/drawing/2014/main" id="{33C99744-CFD6-4BE6-A62E-9FB380880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57525" y="0"/>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306368</xdr:colOff>
      <xdr:row>0</xdr:row>
      <xdr:rowOff>86061</xdr:rowOff>
    </xdr:from>
    <xdr:to>
      <xdr:col>6</xdr:col>
      <xdr:colOff>62510</xdr:colOff>
      <xdr:row>3</xdr:row>
      <xdr:rowOff>96642</xdr:rowOff>
    </xdr:to>
    <xdr:pic>
      <xdr:nvPicPr>
        <xdr:cNvPr id="3" name="Picture 26">
          <a:extLst>
            <a:ext uri="{FF2B5EF4-FFF2-40B4-BE49-F238E27FC236}">
              <a16:creationId xmlns:a16="http://schemas.microsoft.com/office/drawing/2014/main" id="{3F748F8F-5006-478A-841D-D0A08C9118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55268" y="86061"/>
          <a:ext cx="2280267" cy="582081"/>
        </a:xfrm>
        <a:prstGeom prst="rect">
          <a:avLst/>
        </a:prstGeom>
        <a:noFill/>
        <a:ln>
          <a:noFill/>
        </a:ln>
      </xdr:spPr>
    </xdr:pic>
    <xdr:clientData/>
  </xdr:twoCellAnchor>
  <xdr:twoCellAnchor>
    <xdr:from>
      <xdr:col>6</xdr:col>
      <xdr:colOff>345936</xdr:colOff>
      <xdr:row>0</xdr:row>
      <xdr:rowOff>133170</xdr:rowOff>
    </xdr:from>
    <xdr:to>
      <xdr:col>6</xdr:col>
      <xdr:colOff>341257</xdr:colOff>
      <xdr:row>3</xdr:row>
      <xdr:rowOff>15511</xdr:rowOff>
    </xdr:to>
    <xdr:pic>
      <xdr:nvPicPr>
        <xdr:cNvPr id="4" name="Picture 26">
          <a:extLst>
            <a:ext uri="{FF2B5EF4-FFF2-40B4-BE49-F238E27FC236}">
              <a16:creationId xmlns:a16="http://schemas.microsoft.com/office/drawing/2014/main" id="{B75D2D3E-F7DB-42D0-98CD-32B36EF70F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90386" y="133170"/>
          <a:ext cx="0" cy="45384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1019175</xdr:colOff>
      <xdr:row>3</xdr:row>
      <xdr:rowOff>0</xdr:rowOff>
    </xdr:from>
    <xdr:ext cx="0" cy="723900"/>
    <xdr:pic>
      <xdr:nvPicPr>
        <xdr:cNvPr id="2" name="Picture 13" descr="American_Express_card_logo">
          <a:extLst>
            <a:ext uri="{FF2B5EF4-FFF2-40B4-BE49-F238E27FC236}">
              <a16:creationId xmlns:a16="http://schemas.microsoft.com/office/drawing/2014/main" id="{ED3403D5-BA25-4C54-AC9B-05494FE378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542925"/>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1019175</xdr:colOff>
      <xdr:row>1</xdr:row>
      <xdr:rowOff>0</xdr:rowOff>
    </xdr:from>
    <xdr:ext cx="0" cy="723900"/>
    <xdr:pic>
      <xdr:nvPicPr>
        <xdr:cNvPr id="3" name="Picture 13" descr="American_Express_card_logo">
          <a:extLst>
            <a:ext uri="{FF2B5EF4-FFF2-40B4-BE49-F238E27FC236}">
              <a16:creationId xmlns:a16="http://schemas.microsoft.com/office/drawing/2014/main" id="{BD11C718-C5A4-4DF0-91E3-E9851378D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80975"/>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1019175</xdr:colOff>
      <xdr:row>1</xdr:row>
      <xdr:rowOff>0</xdr:rowOff>
    </xdr:from>
    <xdr:ext cx="0" cy="723900"/>
    <xdr:pic>
      <xdr:nvPicPr>
        <xdr:cNvPr id="4" name="Picture 13" descr="American_Express_card_logo">
          <a:extLst>
            <a:ext uri="{FF2B5EF4-FFF2-40B4-BE49-F238E27FC236}">
              <a16:creationId xmlns:a16="http://schemas.microsoft.com/office/drawing/2014/main" id="{E9EA3189-D929-4A1A-AB86-1E416D91B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80975"/>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294186</xdr:colOff>
      <xdr:row>1</xdr:row>
      <xdr:rowOff>153361</xdr:rowOff>
    </xdr:from>
    <xdr:to>
      <xdr:col>7</xdr:col>
      <xdr:colOff>61744</xdr:colOff>
      <xdr:row>4</xdr:row>
      <xdr:rowOff>0</xdr:rowOff>
    </xdr:to>
    <xdr:pic>
      <xdr:nvPicPr>
        <xdr:cNvPr id="5" name="Picture 26">
          <a:extLst>
            <a:ext uri="{FF2B5EF4-FFF2-40B4-BE49-F238E27FC236}">
              <a16:creationId xmlns:a16="http://schemas.microsoft.com/office/drawing/2014/main" id="{87CD7008-533B-4C4A-A246-F8FA591EC7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71436" y="334336"/>
          <a:ext cx="2034508" cy="47528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1019175</xdr:colOff>
      <xdr:row>2</xdr:row>
      <xdr:rowOff>0</xdr:rowOff>
    </xdr:from>
    <xdr:ext cx="0" cy="723900"/>
    <xdr:pic>
      <xdr:nvPicPr>
        <xdr:cNvPr id="2" name="Picture 13" descr="American_Express_card_logo">
          <a:extLst>
            <a:ext uri="{FF2B5EF4-FFF2-40B4-BE49-F238E27FC236}">
              <a16:creationId xmlns:a16="http://schemas.microsoft.com/office/drawing/2014/main" id="{6CC63AB3-6F67-4C84-9845-D8D0E3275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900" y="361950"/>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1019175</xdr:colOff>
      <xdr:row>2</xdr:row>
      <xdr:rowOff>0</xdr:rowOff>
    </xdr:from>
    <xdr:ext cx="0" cy="723900"/>
    <xdr:pic>
      <xdr:nvPicPr>
        <xdr:cNvPr id="3" name="Picture 13" descr="American_Express_card_logo">
          <a:extLst>
            <a:ext uri="{FF2B5EF4-FFF2-40B4-BE49-F238E27FC236}">
              <a16:creationId xmlns:a16="http://schemas.microsoft.com/office/drawing/2014/main" id="{1772FE29-4A08-46D1-806F-6C41D3946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1425" y="361950"/>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11206</xdr:colOff>
      <xdr:row>0</xdr:row>
      <xdr:rowOff>134471</xdr:rowOff>
    </xdr:from>
    <xdr:to>
      <xdr:col>5</xdr:col>
      <xdr:colOff>1848970</xdr:colOff>
      <xdr:row>3</xdr:row>
      <xdr:rowOff>51637</xdr:rowOff>
    </xdr:to>
    <xdr:pic>
      <xdr:nvPicPr>
        <xdr:cNvPr id="4" name="Picture 26">
          <a:extLst>
            <a:ext uri="{FF2B5EF4-FFF2-40B4-BE49-F238E27FC236}">
              <a16:creationId xmlns:a16="http://schemas.microsoft.com/office/drawing/2014/main" id="{15A4B3A6-1764-4EBF-B41D-3C3C932021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45631" y="134471"/>
          <a:ext cx="1837764" cy="469616"/>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1019175</xdr:colOff>
      <xdr:row>2</xdr:row>
      <xdr:rowOff>0</xdr:rowOff>
    </xdr:from>
    <xdr:ext cx="0" cy="723900"/>
    <xdr:pic>
      <xdr:nvPicPr>
        <xdr:cNvPr id="2" name="Picture 13" descr="American_Express_card_logo">
          <a:extLst>
            <a:ext uri="{FF2B5EF4-FFF2-40B4-BE49-F238E27FC236}">
              <a16:creationId xmlns:a16="http://schemas.microsoft.com/office/drawing/2014/main" id="{225AF6EB-113B-4062-8415-8757209B2F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29125" y="400050"/>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22</xdr:col>
      <xdr:colOff>1160318</xdr:colOff>
      <xdr:row>3</xdr:row>
      <xdr:rowOff>121227</xdr:rowOff>
    </xdr:from>
    <xdr:to>
      <xdr:col>24</xdr:col>
      <xdr:colOff>175218</xdr:colOff>
      <xdr:row>6</xdr:row>
      <xdr:rowOff>67936</xdr:rowOff>
    </xdr:to>
    <xdr:pic>
      <xdr:nvPicPr>
        <xdr:cNvPr id="3" name="Picture 26">
          <a:extLst>
            <a:ext uri="{FF2B5EF4-FFF2-40B4-BE49-F238E27FC236}">
              <a16:creationId xmlns:a16="http://schemas.microsoft.com/office/drawing/2014/main" id="{5CDC3B19-1F72-44F4-8CD0-4AFDA39F09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954393" y="721302"/>
          <a:ext cx="1834300" cy="489634"/>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1019175</xdr:colOff>
      <xdr:row>0</xdr:row>
      <xdr:rowOff>0</xdr:rowOff>
    </xdr:from>
    <xdr:ext cx="0" cy="723900"/>
    <xdr:pic>
      <xdr:nvPicPr>
        <xdr:cNvPr id="2" name="Picture 13" descr="American_Express_card_logo">
          <a:extLst>
            <a:ext uri="{FF2B5EF4-FFF2-40B4-BE49-F238E27FC236}">
              <a16:creationId xmlns:a16="http://schemas.microsoft.com/office/drawing/2014/main" id="{43BCCF19-E918-4EB8-8623-8DCAD5FC8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14700" y="0"/>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214108</xdr:colOff>
      <xdr:row>0</xdr:row>
      <xdr:rowOff>105047</xdr:rowOff>
    </xdr:from>
    <xdr:to>
      <xdr:col>6</xdr:col>
      <xdr:colOff>2233722</xdr:colOff>
      <xdr:row>3</xdr:row>
      <xdr:rowOff>80526</xdr:rowOff>
    </xdr:to>
    <xdr:pic>
      <xdr:nvPicPr>
        <xdr:cNvPr id="3" name="Picture 26">
          <a:extLst>
            <a:ext uri="{FF2B5EF4-FFF2-40B4-BE49-F238E27FC236}">
              <a16:creationId xmlns:a16="http://schemas.microsoft.com/office/drawing/2014/main" id="{DC73AD04-9D1C-4477-8573-84CBCE2A98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62958" y="105047"/>
          <a:ext cx="2019614" cy="51840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ardmp15sh\bddfent\A-Dossiers%20client\HITACHI%20DATA%20SYSTEMS\00%20-%20Connexis%20&amp;%20Notional%20Pooling\04%20-%20Impl&#233;mentation\03%20-%20Produits%20et%20Services\01%20-%20Connexis\Dj_20120711_ML_HDS_Connexis_Appendix%2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OMMERCIAL\A-Dossiers%20client\Oracle\Implementation\00-Project%20management\01-Dashboard\Db_151102_Oracle_Main%20Action%20Tracker_Dashboar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OMMERCIAL\A-Dossiers%20client\Oracle\Implementation\00-Project%20management\01-Dashboard\Db_151102_Oracle_Main%20Action%20Tracker_Dashboar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b34731\AppData\Local\Microsoft\Windows\Temporary%20Internet%20Files\Content.Outlook\M7FARDTU\Dev\DD%20Form%20dev\Due%20Diligence%20Form%20-%20RMA%20-%20V.FINAL.DEV.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b34731\AppData\Local\Microsoft\Windows\Temporary%20Internet%20Files\Content.Outlook\M7FARDTU\Dev\DD%20Form%20dev\Due%20Diligence%20Form%20-%20RMA%20-%20V.FINAL.DEV.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ARDMP25HD\306650$\workarea\T&#233;l&#233;chargements\Connexis-Contract-Appendix-6-Release-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backup\Local%20C%20drive\TMS\Data%20and%20processes\Referential%20Workbooks\Kyriba%20referential%20Data%20Workbook%20V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COMMERCIAL\A-Dossiers%20client\Future%20Electronics\04%20-%20Impl&#233;mentation\07%20-%20Suivi%20de%20projet\Tb_20140509_CH_FEI_EMEA_CM_Dashboar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OMMERCIAL\A-Dossiers%20client\Future%20Electronics\04%20-%20Impl&#233;mentation\07%20-%20Suivi%20de%20projet\Tb_20140509_CH_FEI_EMEA_CM_Dashboar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A-BSI-OBIS\01_Reporting\OBIS_KYC_followup.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ARDMP25HD\306650$\BusinessData\CashManagement-CompetenceCentre\Channels\Connexis\Connexis%20Marketing\Marketing\06%20-%20Process\05-%20Exception%20processes\H2H-Swiftnet%20process\Swiftnet-H2H_via_Connexis_registration_for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ARDMP22HD\445186$\COMMERCIAL\A-Dossiers%20client\Mc%20Cain\10306%20-%20RFP%20European%20banking%20Services\04%20-%20Implementation\03%20-%20Produits%20et%20Services\Cash%20Concentration\Is_110720_NM_McCain_EUR_Cash%20Pool_ajout_I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548997\AppData\Local\Temp\notes0A895E\Appendix%206%20vierg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COMMERCIAL\A-Dossiers%20client\General%20Electric\_Corine%20Spier%20(till%2015-Nov-15)\000-Implem%20permanente\09-%20Connectivity%20consolidation\Project%20management\Tb-160520_SD_GE_DB.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COMMERCIAL\A-Dossiers%20client\Richemont\09-%20Global%20project\00-Project%20management\01-Dashboard\Db_021216_RICH_%20GLOBAL%20PROJEC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212424\AppData\Local\Temp\notes6FC876\Zz_IET_WIP\Li_20130404_SDD_Standard_Dashboard_Template_FR..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OMMERCIAL\A-Dossiers%20client\Clariant\2013%20April-%20SEPA%20migration\01%20-%20Cartographie\Li_130719_DLA_Dashboard_Clariant_SEPA%20migration.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COMMERCIAL\A-Dossiers%20client\L'Or&#233;al\Db_20170410_L'OREAL_Dashboardv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212424\AppData\Local\Temp\notes6FC876\Zz_IET_WIP\140115_Progress%20report_Template_E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scampi%20A\Exemples%20de%20modele\JCP_GPS_GED_V1.1%202010%2003%2001%20v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IMPLEMENTATION_STREAM\02_Roll%20out\03-Processes\02-Standard%20processes\04-Documentation%20template\Li_20130108_FCO_Standard_Dashboard_Template_EN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Check list"/>
      <sheetName val="source"/>
      <sheetName val="Technique"/>
      <sheetName val="Drop down"/>
      <sheetName val="Liste des formats"/>
      <sheetName val="Feuil1"/>
      <sheetName val="Check_list"/>
      <sheetName val="Drop_down"/>
      <sheetName val="SCH 2 &amp; 3 REGISTRATION FORM"/>
      <sheetName val="Lists"/>
    </sheetNames>
    <sheetDataSet>
      <sheetData sheetId="0"/>
      <sheetData sheetId="1"/>
      <sheetData sheetId="2"/>
      <sheetData sheetId="3" refreshError="1"/>
      <sheetData sheetId="4" refreshError="1"/>
      <sheetData sheetId="5" refreshError="1"/>
      <sheetData sheetId="6" refreshError="1"/>
      <sheetData sheetId="7"/>
      <sheetData sheetId="8"/>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Directory"/>
      <sheetName val="01. Project plan"/>
      <sheetName val="02. Actions tracker"/>
      <sheetName val="03. Accounts &amp; Pducts map"/>
      <sheetName val="03.2Legal &amp; AO Documentation"/>
      <sheetName val="03.3 Banks"/>
      <sheetName val="04. Legal doc"/>
      <sheetName val="05.Legal Compass"/>
      <sheetName val="06. Test plan"/>
      <sheetName val="07. Migration to support"/>
      <sheetName val="08.Connexis COT"/>
      <sheetName val="08.2 Connexis user matrix"/>
      <sheetName val="09. RBS Accounts &amp; Pducts map "/>
      <sheetName val="Technique"/>
      <sheetName val="00__Directory"/>
      <sheetName val="01__Project_plan"/>
      <sheetName val="02__Actions_tracker"/>
      <sheetName val="03__Accounts_&amp;_Pducts_map"/>
      <sheetName val="03_2Legal_&amp;_AO_Documentation"/>
      <sheetName val="03_3_Banks"/>
      <sheetName val="04__Legal_doc"/>
      <sheetName val="05_Legal_Compass"/>
      <sheetName val="06__Test_plan"/>
      <sheetName val="07__Migration_to_support"/>
      <sheetName val="08_Connexis_COT"/>
      <sheetName val="08_2_Connexis_user_matrix"/>
      <sheetName val="09__RBS_Accounts_&amp;_Pducts_map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Directory"/>
      <sheetName val="01. Project plan"/>
      <sheetName val="02. Actions tracker"/>
      <sheetName val="03. Accounts &amp; Pducts map"/>
      <sheetName val="03.2Legal &amp; AO Documentation"/>
      <sheetName val="03.3 Banks"/>
      <sheetName val="04. Legal doc"/>
      <sheetName val="05.Legal Compass"/>
      <sheetName val="06. Test plan"/>
      <sheetName val="07. Migration to support"/>
      <sheetName val="08.Connexis COT"/>
      <sheetName val="08.2 Connexis user matrix"/>
      <sheetName val="09. RBS Accounts &amp; Pducts map "/>
      <sheetName val="Technique"/>
      <sheetName val="00__Directory"/>
      <sheetName val="01__Project_plan"/>
      <sheetName val="02__Actions_tracker"/>
      <sheetName val="03__Accounts_&amp;_Pducts_map"/>
      <sheetName val="03_2Legal_&amp;_AO_Documentation"/>
      <sheetName val="03_3_Banks"/>
      <sheetName val="04__Legal_doc"/>
      <sheetName val="05_Legal_Compass"/>
      <sheetName val="06__Test_plan"/>
      <sheetName val="07__Migration_to_support"/>
      <sheetName val="08_Connexis_COT"/>
      <sheetName val="08_2_Connexis_user_matrix"/>
      <sheetName val="09__RBS_Accounts_&amp;_Pducts_map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lient Information"/>
      <sheetName val="Client Activity"/>
      <sheetName val="Related Natural Persons"/>
      <sheetName val="Related Entities"/>
      <sheetName val="Screening"/>
      <sheetName val="UBO Form"/>
      <sheetName val="Scoring Synthese"/>
      <sheetName val="PreScoring"/>
      <sheetName val="Scoring"/>
      <sheetName val="DDO Assessment"/>
      <sheetName val="1st-Level Control"/>
      <sheetName val="Decision"/>
      <sheetName val="Lists"/>
      <sheetName val="Countries"/>
      <sheetName val="Sectors"/>
      <sheetName val="Products"/>
      <sheetName val="Exchanges"/>
      <sheetName val="Trad"/>
      <sheetName val="MENU"/>
      <sheetName val="DATA_BANKRED"/>
      <sheetName val="DATA_BANKORANGE"/>
      <sheetName val="DATA_COUNTRIES_PN"/>
      <sheetName val="DATA_BANK_P1"/>
      <sheetName val="DATA_BANK_P2_P3"/>
      <sheetName val="Technique"/>
      <sheetName val="Client_Information"/>
      <sheetName val="Client_Activity"/>
      <sheetName val="Related_Natural_Persons"/>
      <sheetName val="Related_Entities"/>
      <sheetName val="UBO_Form"/>
      <sheetName val="Scoring_Synthese"/>
      <sheetName val="DDO_Assessment"/>
      <sheetName val="1st-Level_Control"/>
      <sheetName val="Client_Information1"/>
      <sheetName val="Client_Activity1"/>
      <sheetName val="Related_Natural_Persons1"/>
      <sheetName val="Related_Entities1"/>
      <sheetName val="UBO_Form1"/>
      <sheetName val="Scoring_Synthese1"/>
      <sheetName val="DDO_Assessment1"/>
      <sheetName val="1st-Level_Control1"/>
      <sheetName val="Client_Information2"/>
      <sheetName val="Client_Activity2"/>
      <sheetName val="Related_Natural_Persons2"/>
      <sheetName val="Related_Entities2"/>
      <sheetName val="UBO_Form2"/>
      <sheetName val="Scoring_Synthese2"/>
      <sheetName val="DDO_Assessment2"/>
      <sheetName val="1st-Level_Control2"/>
      <sheetName val="Client_Information3"/>
      <sheetName val="Client_Activity3"/>
      <sheetName val="Related_Natural_Persons3"/>
      <sheetName val="Related_Entities3"/>
      <sheetName val="UBO_Form3"/>
      <sheetName val="Scoring_Synthese3"/>
      <sheetName val="DDO_Assessment3"/>
      <sheetName val="1st-Level_Control3"/>
      <sheetName val="03.3 bank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lient Information"/>
      <sheetName val="Client Activity"/>
      <sheetName val="Related Natural Persons"/>
      <sheetName val="Related Entities"/>
      <sheetName val="Screening"/>
      <sheetName val="UBO Form"/>
      <sheetName val="Scoring Synthese"/>
      <sheetName val="PreScoring"/>
      <sheetName val="Scoring"/>
      <sheetName val="DDO Assessment"/>
      <sheetName val="1st-Level Control"/>
      <sheetName val="Decision"/>
      <sheetName val="Lists"/>
      <sheetName val="Countries"/>
      <sheetName val="Sectors"/>
      <sheetName val="Products"/>
      <sheetName val="Exchanges"/>
      <sheetName val="Trad"/>
      <sheetName val="MENU"/>
      <sheetName val="DATA_BANKRED"/>
      <sheetName val="DATA_BANKORANGE"/>
      <sheetName val="DATA_COUNTRIES_PN"/>
      <sheetName val="DATA_BANK_P1"/>
      <sheetName val="DATA_BANK_P2_P3"/>
      <sheetName val="Technique"/>
      <sheetName val="Client_Information"/>
      <sheetName val="Client_Activity"/>
      <sheetName val="Related_Natural_Persons"/>
      <sheetName val="Related_Entities"/>
      <sheetName val="UBO_Form"/>
      <sheetName val="Scoring_Synthese"/>
      <sheetName val="DDO_Assessment"/>
      <sheetName val="1st-Level_Control"/>
      <sheetName val="Client_Information1"/>
      <sheetName val="Client_Activity1"/>
      <sheetName val="Related_Natural_Persons1"/>
      <sheetName val="Related_Entities1"/>
      <sheetName val="UBO_Form1"/>
      <sheetName val="Scoring_Synthese1"/>
      <sheetName val="DDO_Assessment1"/>
      <sheetName val="1st-Level_Control1"/>
      <sheetName val="Client_Information2"/>
      <sheetName val="Client_Activity2"/>
      <sheetName val="Related_Natural_Persons2"/>
      <sheetName val="Related_Entities2"/>
      <sheetName val="UBO_Form2"/>
      <sheetName val="Scoring_Synthese2"/>
      <sheetName val="DDO_Assessment2"/>
      <sheetName val="1st-Level_Control2"/>
      <sheetName val="Client_Information3"/>
      <sheetName val="Client_Activity3"/>
      <sheetName val="Related_Natural_Persons3"/>
      <sheetName val="Related_Entities3"/>
      <sheetName val="UBO_Form3"/>
      <sheetName val="Scoring_Synthese3"/>
      <sheetName val="DDO_Assessment3"/>
      <sheetName val="1st-Level_Control3"/>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Check list"/>
      <sheetName val="source"/>
      <sheetName val="Check_list"/>
      <sheetName val="Check_list1"/>
      <sheetName val="Check_list2"/>
      <sheetName val="Check_list3"/>
      <sheetName val="Client Information"/>
      <sheetName val="Scoring"/>
      <sheetName val="Client Activity"/>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Country"/>
      <sheetName val="Currency"/>
      <sheetName val="Calendar"/>
      <sheetName val="Company"/>
      <sheetName val="Bank"/>
      <sheetName val="Bank Branch"/>
      <sheetName val="Counterparty"/>
      <sheetName val="Bank Account"/>
      <sheetName val="User"/>
      <sheetName val="Import Steps"/>
      <sheetName val="Sheet1"/>
      <sheetName val="Bank_Branch"/>
      <sheetName val="Bank_Account"/>
      <sheetName val="Import_Steps"/>
      <sheetName val="Bank_Branch1"/>
      <sheetName val="Bank_Account1"/>
      <sheetName val="Import_Steps1"/>
      <sheetName val="Bank_Branch2"/>
      <sheetName val="Bank_Account2"/>
      <sheetName val="Import_Steps2"/>
      <sheetName val="Bank_Branch3"/>
      <sheetName val="Bank_Account3"/>
      <sheetName val="Import_Steps3"/>
      <sheetName val="source"/>
    </sheetNames>
    <sheetDataSet>
      <sheetData sheetId="0" refreshError="1"/>
      <sheetData sheetId="1" refreshError="1"/>
      <sheetData sheetId="2"/>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ntacts"/>
      <sheetName val="2 Actions"/>
      <sheetName val="3a A6 FEI"/>
      <sheetName val="3b A6 FEL"/>
      <sheetName val="4 Accounts"/>
      <sheetName val="5 Users"/>
      <sheetName val="6 Companies"/>
      <sheetName val="7 Banks"/>
      <sheetName val="8 Progress"/>
      <sheetName val="12.AOD map"/>
      <sheetName val="Technique"/>
      <sheetName val="1_Contacts"/>
      <sheetName val="2_Actions"/>
      <sheetName val="3a_A6_FEI"/>
      <sheetName val="3b_A6_FEL"/>
      <sheetName val="4_Accounts"/>
      <sheetName val="5_Users"/>
      <sheetName val="6_Companies"/>
      <sheetName val="7_Banks"/>
      <sheetName val="8_Progress"/>
      <sheetName val="12_AOD_ma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ntacts"/>
      <sheetName val="2 Actions"/>
      <sheetName val="3a A6 FEI"/>
      <sheetName val="3b A6 FEL"/>
      <sheetName val="4 Accounts"/>
      <sheetName val="5 Users"/>
      <sheetName val="6 Companies"/>
      <sheetName val="7 Banks"/>
      <sheetName val="8 Progress"/>
      <sheetName val="12.AOD map"/>
      <sheetName val="Technique"/>
      <sheetName val="1_Contacts"/>
      <sheetName val="2_Actions"/>
      <sheetName val="3a_A6_FEI"/>
      <sheetName val="3b_A6_FEL"/>
      <sheetName val="4_Accounts"/>
      <sheetName val="5_Users"/>
      <sheetName val="6_Companies"/>
      <sheetName val="7_Banks"/>
      <sheetName val="8_Progress"/>
      <sheetName val="12_AOD_ma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YC process status"/>
      <sheetName val="Assignment"/>
      <sheetName val="Activity Follow Up"/>
      <sheetName val="LOV"/>
      <sheetName val="KYC_process_status"/>
      <sheetName val="Activity_Follow_Up"/>
      <sheetName val="KYC_process_status1"/>
      <sheetName val="Activity_Follow_Up1"/>
      <sheetName val="KYC_process_status2"/>
      <sheetName val="Activity_Follow_Up2"/>
      <sheetName val="KYC_process_status3"/>
      <sheetName val="Activity_Follow_Up3"/>
      <sheetName val="4 accounts"/>
      <sheetName val="Currency"/>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Template"/>
      <sheetName val="source"/>
      <sheetName val="Check_list"/>
      <sheetName val="SCH 3 TECH PARAM &amp; CONTACTS"/>
      <sheetName val="4 accounts"/>
    </sheetNames>
    <sheetDataSet>
      <sheetData sheetId="0"/>
      <sheetData sheetId="1"/>
      <sheetData sheetId="2"/>
      <sheetData sheetId="3"/>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Formulaire général"/>
      <sheetName val="Modification"/>
      <sheetName val="Options de seuil"/>
      <sheetName val="Mode indirect"/>
      <sheetName val="Alerte"/>
      <sheetName val="Position"/>
      <sheetName val="Banque Tierce"/>
      <sheetName val="Restitution"/>
      <sheetName val="Restitution 2"/>
      <sheetName val="APN"/>
      <sheetName val="Facturation"/>
      <sheetName val="CI_ Conditions Générales"/>
      <sheetName val="CI_Entites, Relations PE"/>
      <sheetName val="CI_ Services complémentaires"/>
      <sheetName val="Commentaires"/>
      <sheetName val="Reference"/>
      <sheetName val="DD Menu"/>
      <sheetName val="Formulaire_général"/>
      <sheetName val="Options_de_seuil"/>
      <sheetName val="Mode_indirect"/>
      <sheetName val="Banque_Tierce"/>
      <sheetName val="Restitution_2"/>
      <sheetName val="CI__Conditions_Générales"/>
      <sheetName val="CI_Entites,_Relations_PE"/>
      <sheetName val="CI__Services_complémentaires"/>
      <sheetName val="DD_Menu"/>
      <sheetName val="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Check list"/>
      <sheetName val="DICO"/>
      <sheetName val="source"/>
      <sheetName val="Check_list"/>
      <sheetName val="Check_list1"/>
      <sheetName val="Check_list2"/>
      <sheetName val="Check_list3"/>
      <sheetName val="LOV"/>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Directory"/>
      <sheetName val="02. Action List"/>
      <sheetName val="Technique"/>
      <sheetName val="03.Time plan"/>
      <sheetName val="04. Legal&amp;AO doc"/>
      <sheetName val="01__Directory"/>
      <sheetName val="02__Action_List"/>
      <sheetName val="03_Time_plan"/>
      <sheetName val="04__Legal&amp;AO_doc"/>
      <sheetName val="01__Directory1"/>
      <sheetName val="02__Action_List1"/>
      <sheetName val="03_Time_plan1"/>
      <sheetName val="04__Legal&amp;AO_doc1"/>
      <sheetName val="01__Directory2"/>
      <sheetName val="02__Action_List2"/>
      <sheetName val="03_Time_plan2"/>
      <sheetName val="04__Legal&amp;AO_doc2"/>
      <sheetName val="01__Directory3"/>
      <sheetName val="02__Action_List3"/>
      <sheetName val="03_Time_plan3"/>
      <sheetName val="04__Legal&amp;AO_doc3"/>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Directory"/>
      <sheetName val="RACI"/>
      <sheetName val="01. Project plan"/>
      <sheetName val="02.  Action tracker"/>
      <sheetName val="03. Accounts &amp; Pducts map"/>
      <sheetName val="05. Legal&amp;AO doc"/>
      <sheetName val="04. Test plan"/>
      <sheetName val="06.Retail map"/>
      <sheetName val="08.1 Connexis Cartography"/>
      <sheetName val="08.2 Connexis user matrix"/>
      <sheetName val="09.1 SwiftNet Matrix"/>
      <sheetName val="09.2 SwiftNet Matrix Test"/>
      <sheetName val="09.3Skey Signatories"/>
      <sheetName val="09.4 Swiftnet Registration form"/>
      <sheetName val="10.1 E-LINK Registration form"/>
      <sheetName val="10.2 E-LINK Login Request"/>
      <sheetName val="10.3 E-LINK test Plan"/>
      <sheetName val="12. Migration to support"/>
      <sheetName val="05. Test Tracker"/>
      <sheetName val="Technique"/>
      <sheetName val="Default Charges"/>
      <sheetName val="Accounts registration"/>
      <sheetName val="00__Directory"/>
      <sheetName val="01__Project_plan"/>
      <sheetName val="02___Action_tracker"/>
      <sheetName val="03__Accounts_&amp;_Pducts_map"/>
      <sheetName val="05__Legal&amp;AO_doc"/>
      <sheetName val="04__Test_plan"/>
      <sheetName val="06_Retail_map"/>
      <sheetName val="08_1_Connexis_Cartography"/>
      <sheetName val="08_2_Connexis_user_matrix"/>
      <sheetName val="09_1_SwiftNet_Matrix"/>
      <sheetName val="09_2_SwiftNet_Matrix_Test"/>
      <sheetName val="09_3Skey_Signatories"/>
      <sheetName val="09_4_Swiftnet_Registration_form"/>
      <sheetName val="10_1_E-LINK_Registration_form"/>
      <sheetName val="10_2_E-LINK_Login_Request"/>
      <sheetName val="10_3_E-LINK_test_Plan"/>
      <sheetName val="12__Migration_to_support"/>
      <sheetName val="05__Test_Tracker"/>
      <sheetName val="Default_Charges"/>
      <sheetName val="Accounts_registration"/>
      <sheetName val="00__Directory1"/>
      <sheetName val="01__Project_plan1"/>
      <sheetName val="02___Action_tracker1"/>
      <sheetName val="03__Accounts_&amp;_Pducts_map1"/>
      <sheetName val="05__Legal&amp;AO_doc1"/>
      <sheetName val="04__Test_plan1"/>
      <sheetName val="06_Retail_map1"/>
      <sheetName val="08_1_Connexis_Cartography1"/>
      <sheetName val="08_2_Connexis_user_matrix1"/>
      <sheetName val="09_1_SwiftNet_Matrix1"/>
      <sheetName val="09_2_SwiftNet_Matrix_Test1"/>
      <sheetName val="09_3Skey_Signatories1"/>
      <sheetName val="09_4_Swiftnet_Registration_for1"/>
      <sheetName val="10_1_E-LINK_Registration_form1"/>
      <sheetName val="10_2_E-LINK_Login_Request1"/>
      <sheetName val="10_3_E-LINK_test_Plan1"/>
      <sheetName val="12__Migration_to_support1"/>
      <sheetName val="05__Test_Tracker1"/>
      <sheetName val="Default_Charges1"/>
      <sheetName val="Accounts_registration1"/>
      <sheetName val="00__Directory2"/>
      <sheetName val="01__Project_plan2"/>
      <sheetName val="02___Action_tracker2"/>
      <sheetName val="03__Accounts_&amp;_Pducts_map2"/>
      <sheetName val="05__Legal&amp;AO_doc2"/>
      <sheetName val="04__Test_plan2"/>
      <sheetName val="06_Retail_map2"/>
      <sheetName val="08_1_Connexis_Cartography2"/>
      <sheetName val="08_2_Connexis_user_matrix2"/>
      <sheetName val="09_1_SwiftNet_Matrix2"/>
      <sheetName val="09_2_SwiftNet_Matrix_Test2"/>
      <sheetName val="09_3Skey_Signatories2"/>
      <sheetName val="09_4_Swiftnet_Registration_for2"/>
      <sheetName val="10_1_E-LINK_Registration_form2"/>
      <sheetName val="10_2_E-LINK_Login_Request2"/>
      <sheetName val="10_3_E-LINK_test_Plan2"/>
      <sheetName val="12__Migration_to_support2"/>
      <sheetName val="05__Test_Tracker2"/>
      <sheetName val="Default_Charges2"/>
      <sheetName val="Accounts_registration2"/>
      <sheetName val="00__Directory3"/>
      <sheetName val="01__Project_plan3"/>
      <sheetName val="02___Action_tracker3"/>
      <sheetName val="03__Accounts_&amp;_Pducts_map3"/>
      <sheetName val="05__Legal&amp;AO_doc3"/>
      <sheetName val="04__Test_plan3"/>
      <sheetName val="06_Retail_map3"/>
      <sheetName val="08_1_Connexis_Cartography3"/>
      <sheetName val="08_2_Connexis_user_matrix3"/>
      <sheetName val="09_1_SwiftNet_Matrix3"/>
      <sheetName val="09_2_SwiftNet_Matrix_Test3"/>
      <sheetName val="09_3Skey_Signatories3"/>
      <sheetName val="09_4_Swiftnet_Registration_for3"/>
      <sheetName val="10_1_E-LINK_Registration_form3"/>
      <sheetName val="10_2_E-LINK_Login_Request3"/>
      <sheetName val="10_3_E-LINK_test_Plan3"/>
      <sheetName val="12__Migration_to_support3"/>
      <sheetName val="05__Test_Tracker3"/>
      <sheetName val="Default_Charges3"/>
      <sheetName val="Accounts_registration3"/>
      <sheetName val="quest track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ives"/>
      <sheetName val="00.Annuaire"/>
      <sheetName val="01.Tableau de bord"/>
      <sheetName val="02.Cartographie"/>
      <sheetName val="03.Contrats"/>
      <sheetName val="05.Questions - Réponses"/>
      <sheetName val="06.Fiche Accord Client"/>
      <sheetName val="07.Client Conditions"/>
      <sheetName val="Technique"/>
      <sheetName val="DI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Project plan"/>
      <sheetName val="01.Action List"/>
      <sheetName val="02.Accounts &amp; Pducts map"/>
      <sheetName val="03. Tests plan"/>
      <sheetName val="Technique"/>
      <sheetName val="Feuil1"/>
      <sheetName val="Feuil2"/>
      <sheetName val="01_Project_plan"/>
      <sheetName val="01_Action_List"/>
      <sheetName val="02_Accounts_&amp;_Pducts_map"/>
      <sheetName val="03__Tests_plan"/>
      <sheetName val="01_Project_plan1"/>
      <sheetName val="01_Action_List1"/>
      <sheetName val="02_Accounts_&amp;_Pducts_map1"/>
      <sheetName val="03__Tests_plan1"/>
      <sheetName val="01_Project_plan2"/>
      <sheetName val="01_Action_List2"/>
      <sheetName val="02_Accounts_&amp;_Pducts_map2"/>
      <sheetName val="03__Tests_plan2"/>
      <sheetName val="01_Project_plan3"/>
      <sheetName val="01_Action_List3"/>
      <sheetName val="02_Accounts_&amp;_Pducts_map3"/>
      <sheetName val="03__Tests_plan3"/>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ntacts"/>
      <sheetName val="2 Plan project"/>
      <sheetName val="4 Légal"/>
      <sheetName val="5 Bordereau SWIFTNet"/>
      <sheetName val="6 Carto SWIFTNet PROD REGEFI"/>
      <sheetName val="6-1 Carto SWIFTNet PROD FINVAL"/>
      <sheetName val="7 Cartographie SWIFTNet Test"/>
      <sheetName val="8 Plan de test"/>
      <sheetName val="Migration to support"/>
      <sheetName val="Technique"/>
      <sheetName val="9 Cartographie Cash Pool REGEFI"/>
      <sheetName val="10 Cartographie Cash Pool CHF"/>
      <sheetName val="11 Faisabilité COPO POBO"/>
      <sheetName val="3 Suivi des ques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ess report"/>
      <sheetName val="Technique"/>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 Synthèse"/>
      <sheetName val="1.2 Jalons"/>
      <sheetName val="2.1 Livrables"/>
      <sheetName val="2.2 Actions-Décisions"/>
      <sheetName val="2.3 Portefeuille de risques"/>
      <sheetName val="3.2 Calcul indicateurs"/>
      <sheetName val="4.1 Instances"/>
      <sheetName val="4.2 Anomalies"/>
      <sheetName val="5.1 Niveau global de risque"/>
      <sheetName val="5.2 Financier"/>
      <sheetName val="6.1 Bilan"/>
      <sheetName val="6.2 Unités d'Oeuvre"/>
      <sheetName val="7.1 Reglages"/>
      <sheetName val="7.2 Version"/>
      <sheetName val="Synoptique"/>
      <sheetName val="1_1_Synthèse"/>
      <sheetName val="1_2_Jalons"/>
      <sheetName val="2_1_Livrables"/>
      <sheetName val="2_2_Actions-Décisions"/>
      <sheetName val="2_3_Portefeuille_de_risques"/>
      <sheetName val="3_2_Calcul_indicateurs"/>
      <sheetName val="4_1_Instances"/>
      <sheetName val="4_2_Anomalies"/>
      <sheetName val="5_1_Niveau_global_de_risque"/>
      <sheetName val="5_2_Financier"/>
      <sheetName val="6_1_Bilan"/>
      <sheetName val="6_2_Unités_d'Oeuvre"/>
      <sheetName val="7_1_Reglages"/>
      <sheetName val="7_2_Version"/>
      <sheetName val="1_1_Synthèse1"/>
      <sheetName val="1_2_Jalons1"/>
      <sheetName val="2_1_Livrables1"/>
      <sheetName val="2_2_Actions-Décisions1"/>
      <sheetName val="2_3_Portefeuille_de_risques1"/>
      <sheetName val="3_2_Calcul_indicateurs1"/>
      <sheetName val="4_1_Instances1"/>
      <sheetName val="4_2_Anomalies1"/>
      <sheetName val="5_1_Niveau_global_de_risque1"/>
      <sheetName val="5_2_Financier1"/>
      <sheetName val="6_1_Bilan1"/>
      <sheetName val="6_2_Unités_d'Oeuvre1"/>
      <sheetName val="7_1_Reglages1"/>
      <sheetName val="7_2_Version1"/>
      <sheetName val="1_1_Synthèse2"/>
      <sheetName val="1_2_Jalons2"/>
      <sheetName val="2_1_Livrables2"/>
      <sheetName val="2_2_Actions-Décisions2"/>
      <sheetName val="2_3_Portefeuille_de_risques2"/>
      <sheetName val="3_2_Calcul_indicateurs2"/>
      <sheetName val="4_1_Instances2"/>
      <sheetName val="4_2_Anomalies2"/>
      <sheetName val="5_1_Niveau_global_de_risque2"/>
      <sheetName val="5_2_Financier2"/>
      <sheetName val="6_1_Bilan2"/>
      <sheetName val="6_2_Unités_d'Oeuvre2"/>
      <sheetName val="7_1_Reglages2"/>
      <sheetName val="7_2_Version2"/>
      <sheetName val="1_1_Synthèse3"/>
      <sheetName val="1_2_Jalons3"/>
      <sheetName val="2_1_Livrables3"/>
      <sheetName val="2_2_Actions-Décisions3"/>
      <sheetName val="2_3_Portefeuille_de_risques3"/>
      <sheetName val="3_2_Calcul_indicateurs3"/>
      <sheetName val="4_1_Instances3"/>
      <sheetName val="4_2_Anomalies3"/>
      <sheetName val="5_1_Niveau_global_de_risque3"/>
      <sheetName val="5_2_Financier3"/>
      <sheetName val="6_1_Bilan3"/>
      <sheetName val="6_2_Unités_d'Oeuvre3"/>
      <sheetName val="7_1_Reglages3"/>
      <sheetName val="7_2_Version3"/>
      <sheetName val="Techniq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00.Directory"/>
      <sheetName val="01.Action List"/>
      <sheetName val="02.Accounts &amp; Pducts map"/>
      <sheetName val="03.Retail map"/>
      <sheetName val="04. Legal"/>
      <sheetName val="04.bis Task Matrix"/>
      <sheetName val="05. Cash Pool architecture"/>
      <sheetName val="06. Cash Pool cartography"/>
      <sheetName val="07. Connexis cartography"/>
      <sheetName val="07.bis Connexis user matrix"/>
      <sheetName val="08. Swiftnet cartography"/>
      <sheetName val="Technique"/>
      <sheetName val="09.Test plan"/>
      <sheetName val="10. Account management"/>
      <sheetName val="11. Client service team contact"/>
      <sheetName val="00_Directory"/>
      <sheetName val="01_Action_List"/>
      <sheetName val="02_Accounts_&amp;_Pducts_map"/>
      <sheetName val="03_Retail_map"/>
      <sheetName val="04__Legal"/>
      <sheetName val="04_bis_Task_Matrix"/>
      <sheetName val="05__Cash_Pool_architecture"/>
      <sheetName val="06__Cash_Pool_cartography"/>
      <sheetName val="07__Connexis_cartography"/>
      <sheetName val="07_bis_Connexis_user_matrix"/>
      <sheetName val="08__Swiftnet_cartography"/>
      <sheetName val="09_Test_plan"/>
      <sheetName val="10__Account_management"/>
      <sheetName val="11__Client_service_team_contact"/>
      <sheetName val="00_Directory1"/>
      <sheetName val="01_Action_List1"/>
      <sheetName val="02_Accounts_&amp;_Pducts_map1"/>
      <sheetName val="03_Retail_map1"/>
      <sheetName val="04__Legal1"/>
      <sheetName val="04_bis_Task_Matrix1"/>
      <sheetName val="05__Cash_Pool_architecture1"/>
      <sheetName val="06__Cash_Pool_cartography1"/>
      <sheetName val="07__Connexis_cartography1"/>
      <sheetName val="07_bis_Connexis_user_matrix1"/>
      <sheetName val="08__Swiftnet_cartography1"/>
      <sheetName val="09_Test_plan1"/>
      <sheetName val="10__Account_management1"/>
      <sheetName val="11__Client_service_team_contac1"/>
      <sheetName val="00_Directory2"/>
      <sheetName val="01_Action_List2"/>
      <sheetName val="02_Accounts_&amp;_Pducts_map2"/>
      <sheetName val="03_Retail_map2"/>
      <sheetName val="04__Legal2"/>
      <sheetName val="04_bis_Task_Matrix2"/>
      <sheetName val="05__Cash_Pool_architecture2"/>
      <sheetName val="06__Cash_Pool_cartography2"/>
      <sheetName val="07__Connexis_cartography2"/>
      <sheetName val="07_bis_Connexis_user_matrix2"/>
      <sheetName val="08__Swiftnet_cartography2"/>
      <sheetName val="09_Test_plan2"/>
      <sheetName val="10__Account_management2"/>
      <sheetName val="11__Client_service_team_contac2"/>
      <sheetName val="00_Directory3"/>
      <sheetName val="01_Action_List3"/>
      <sheetName val="02_Accounts_&amp;_Pducts_map3"/>
      <sheetName val="03_Retail_map3"/>
      <sheetName val="04__Legal3"/>
      <sheetName val="04_bis_Task_Matrix3"/>
      <sheetName val="05__Cash_Pool_architecture3"/>
      <sheetName val="06__Cash_Pool_cartography3"/>
      <sheetName val="07__Connexis_cartography3"/>
      <sheetName val="07_bis_Connexis_user_matrix3"/>
      <sheetName val="08__Swiftnet_cartography3"/>
      <sheetName val="09_Test_plan3"/>
      <sheetName val="10__Account_management3"/>
      <sheetName val="11__Client_service_team_conta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davy.vanwetswinkel@bnpparibasfortis.com" TargetMode="External"/><Relationship Id="rId1" Type="http://schemas.openxmlformats.org/officeDocument/2006/relationships/hyperlink" Target="mailto:paris.electronic.banking.support@bnpparibas.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ECB7-6BA1-47D4-B056-9EA06FF14007}">
  <sheetPr>
    <tabColor rgb="FFC00000"/>
  </sheetPr>
  <dimension ref="A1:G33"/>
  <sheetViews>
    <sheetView showGridLines="0" tabSelected="1" view="pageBreakPreview" zoomScale="85" zoomScaleNormal="50" zoomScaleSheetLayoutView="85" zoomScalePageLayoutView="70" workbookViewId="0">
      <selection activeCell="B10" sqref="B10"/>
    </sheetView>
  </sheetViews>
  <sheetFormatPr defaultColWidth="5.5703125" defaultRowHeight="15.75"/>
  <cols>
    <col min="1" max="3" width="30.5703125" style="1" customWidth="1"/>
    <col min="4" max="4" width="29.42578125" style="1" customWidth="1"/>
    <col min="5" max="5" width="32.5703125" style="1" customWidth="1"/>
    <col min="6" max="6" width="37.85546875" style="1" customWidth="1"/>
    <col min="7" max="8" width="4.7109375" style="1" customWidth="1"/>
    <col min="9" max="16384" width="5.5703125" style="1"/>
  </cols>
  <sheetData>
    <row r="1" spans="1:7" ht="15" customHeight="1">
      <c r="A1" s="162" t="s">
        <v>0</v>
      </c>
      <c r="B1" s="163"/>
      <c r="C1" s="163"/>
      <c r="D1" s="163"/>
      <c r="E1" s="163"/>
      <c r="F1" s="163"/>
      <c r="G1" s="164"/>
    </row>
    <row r="2" spans="1:7" ht="15" customHeight="1">
      <c r="A2" s="165"/>
      <c r="B2" s="166"/>
      <c r="C2" s="166"/>
      <c r="D2" s="166"/>
      <c r="E2" s="166"/>
      <c r="F2" s="166"/>
      <c r="G2" s="167"/>
    </row>
    <row r="3" spans="1:7" ht="15" customHeight="1">
      <c r="A3" s="165"/>
      <c r="B3" s="166"/>
      <c r="C3" s="166"/>
      <c r="D3" s="166"/>
      <c r="E3" s="166"/>
      <c r="F3" s="166"/>
      <c r="G3" s="167"/>
    </row>
    <row r="4" spans="1:7" ht="15.75" customHeight="1">
      <c r="A4" s="168"/>
      <c r="B4" s="169"/>
      <c r="C4" s="169"/>
      <c r="D4" s="169"/>
      <c r="E4" s="169"/>
      <c r="F4" s="169"/>
      <c r="G4" s="170"/>
    </row>
    <row r="5" spans="1:7" s="8" customFormat="1" ht="14.25">
      <c r="A5" s="2" t="str">
        <f>'Sched 3. Tech Params &amp; Contacts'!A5</f>
        <v>Participating User:</v>
      </c>
      <c r="B5" s="3" t="str">
        <f>'Sched 3. Tech Params &amp; Contacts'!B5</f>
        <v>CPSP BELGIË NV</v>
      </c>
      <c r="C5" s="4"/>
      <c r="D5" s="5"/>
      <c r="E5" s="6" t="str">
        <f>'Sched 3. Tech Params &amp; Contacts'!E5</f>
        <v>Internal SGI:</v>
      </c>
      <c r="F5" s="7" t="str">
        <f>'Sched 3. Tech Params &amp; Contacts'!F5</f>
        <v>02468 - TBD</v>
      </c>
      <c r="G5" s="5"/>
    </row>
    <row r="6" spans="1:7" s="8" customFormat="1" ht="14.25">
      <c r="A6" s="2" t="str">
        <f>'Sched 3. Tech Params &amp; Contacts'!A6</f>
        <v>Client type:</v>
      </c>
      <c r="B6" s="3" t="str">
        <f>'Sched 3. Tech Params &amp; Contacts'!B6</f>
        <v>Establishement Institutions</v>
      </c>
      <c r="C6" s="4"/>
      <c r="D6" s="5"/>
      <c r="E6" s="6" t="str">
        <f>'Sched 3. Tech Params &amp; Contacts'!E6</f>
        <v>RMPM:</v>
      </c>
      <c r="F6" s="7" t="str">
        <f>'Sched 3. Tech Params &amp; Contacts'!F6</f>
        <v>4AAP510785</v>
      </c>
      <c r="G6" s="5"/>
    </row>
    <row r="7" spans="1:7" s="8" customFormat="1" ht="14.25">
      <c r="A7" s="2" t="str">
        <f>'Sched 3. Tech Params &amp; Contacts'!A7</f>
        <v>Country:</v>
      </c>
      <c r="B7" s="3" t="str">
        <f>'Sched 3. Tech Params &amp; Contacts'!B7</f>
        <v>Belgium</v>
      </c>
      <c r="C7" s="4"/>
      <c r="D7" s="5"/>
      <c r="E7" s="6" t="str">
        <f>'Sched 3. Tech Params &amp; Contacts'!E7</f>
        <v>WF / ID:</v>
      </c>
      <c r="F7" s="7" t="str">
        <f>'Sched 3. Tech Params &amp; Contacts'!F7</f>
        <v>TBD</v>
      </c>
      <c r="G7" s="5"/>
    </row>
    <row r="8" spans="1:7" s="8" customFormat="1" ht="14.25">
      <c r="A8" s="2" t="str">
        <f>'Sched 3. Tech Params &amp; Contacts'!A8</f>
        <v>Connectivity Info:</v>
      </c>
      <c r="B8" s="3" t="str">
        <f>'Sched 3. Tech Params &amp; Contacts'!B8</f>
        <v>API 4 Corporate</v>
      </c>
      <c r="C8" s="4"/>
      <c r="D8" s="5"/>
      <c r="E8" s="6" t="str">
        <f>'Sched 3. Tech Params &amp; Contacts'!E8</f>
        <v>Contract version:</v>
      </c>
      <c r="F8" s="7" t="str">
        <f>'Sched 3. Tech Params &amp; Contacts'!F8</f>
        <v>DCA Standard</v>
      </c>
      <c r="G8" s="5"/>
    </row>
    <row r="9" spans="1:7" s="8" customFormat="1" ht="14.25">
      <c r="A9" s="2" t="str">
        <f>'Sched 3. Tech Params &amp; Contacts'!A9</f>
        <v>Author:</v>
      </c>
      <c r="B9" s="3" t="str">
        <f>'Sched 3. Tech Params &amp; Contacts'!B9</f>
        <v>Frédéric Dufond</v>
      </c>
      <c r="C9" s="4"/>
      <c r="D9" s="5"/>
      <c r="E9" s="6" t="str">
        <f>'Sched 3. Tech Params &amp; Contacts'!E9</f>
        <v>Contracting Bank:</v>
      </c>
      <c r="F9" s="7" t="str">
        <f>'Sched 3. Tech Params &amp; Contacts'!F9</f>
        <v>BNP PARIBAS FORTIS SA</v>
      </c>
      <c r="G9" s="5"/>
    </row>
    <row r="10" spans="1:7" s="8" customFormat="1" ht="14.25">
      <c r="A10" s="2" t="str">
        <f>'Sched 3. Tech Params &amp; Contacts'!A10</f>
        <v xml:space="preserve">Client RM/Global CACM : </v>
      </c>
      <c r="B10" s="3" t="str">
        <f>'Sched 3. Tech Params &amp; Contacts'!B10</f>
        <v>Davy Vanwetswinkel</v>
      </c>
      <c r="C10" s="4"/>
      <c r="D10" s="5"/>
      <c r="E10" s="6" t="str">
        <f>'Sched 3. Tech Params &amp; Contacts'!E10</f>
        <v>Last update:</v>
      </c>
      <c r="F10" s="9">
        <f>'Sched 3. Tech Params &amp; Contacts'!F10</f>
        <v>45847</v>
      </c>
      <c r="G10" s="5"/>
    </row>
    <row r="12" spans="1:7">
      <c r="A12" s="171" t="s">
        <v>1</v>
      </c>
      <c r="B12" s="172"/>
      <c r="C12" s="172"/>
      <c r="D12" s="172"/>
      <c r="E12" s="172"/>
      <c r="F12" s="172"/>
    </row>
    <row r="13" spans="1:7">
      <c r="A13" s="172"/>
      <c r="B13" s="172"/>
      <c r="C13" s="172"/>
      <c r="D13" s="172"/>
      <c r="E13" s="172"/>
      <c r="F13" s="172"/>
    </row>
    <row r="14" spans="1:7">
      <c r="A14" s="172"/>
      <c r="B14" s="172"/>
      <c r="C14" s="172"/>
      <c r="D14" s="172"/>
      <c r="E14" s="172"/>
      <c r="F14" s="172"/>
    </row>
    <row r="15" spans="1:7">
      <c r="A15" s="172"/>
      <c r="B15" s="172"/>
      <c r="C15" s="172"/>
      <c r="D15" s="172"/>
      <c r="E15" s="172"/>
      <c r="F15" s="172"/>
    </row>
    <row r="16" spans="1:7">
      <c r="A16" s="172"/>
      <c r="B16" s="172"/>
      <c r="C16" s="172"/>
      <c r="D16" s="172"/>
      <c r="E16" s="172"/>
      <c r="F16" s="172"/>
    </row>
    <row r="17" spans="1:6">
      <c r="A17" s="172"/>
      <c r="B17" s="172"/>
      <c r="C17" s="172"/>
      <c r="D17" s="172"/>
      <c r="E17" s="172"/>
      <c r="F17" s="172"/>
    </row>
    <row r="18" spans="1:6">
      <c r="A18" s="172"/>
      <c r="B18" s="172"/>
      <c r="C18" s="172"/>
      <c r="D18" s="172"/>
      <c r="E18" s="172"/>
      <c r="F18" s="172"/>
    </row>
    <row r="19" spans="1:6">
      <c r="A19" s="172"/>
      <c r="B19" s="172"/>
      <c r="C19" s="172"/>
      <c r="D19" s="172"/>
      <c r="E19" s="172"/>
      <c r="F19" s="172"/>
    </row>
    <row r="20" spans="1:6">
      <c r="A20" s="172"/>
      <c r="B20" s="172"/>
      <c r="C20" s="172"/>
      <c r="D20" s="172"/>
      <c r="E20" s="172"/>
      <c r="F20" s="172"/>
    </row>
    <row r="21" spans="1:6">
      <c r="A21" s="172"/>
      <c r="B21" s="172"/>
      <c r="C21" s="172"/>
      <c r="D21" s="172"/>
      <c r="E21" s="172"/>
      <c r="F21" s="172"/>
    </row>
    <row r="22" spans="1:6">
      <c r="A22" s="172"/>
      <c r="B22" s="172"/>
      <c r="C22" s="172"/>
      <c r="D22" s="172"/>
      <c r="E22" s="172"/>
      <c r="F22" s="172"/>
    </row>
    <row r="23" spans="1:6">
      <c r="A23" s="172"/>
      <c r="B23" s="172"/>
      <c r="C23" s="172"/>
      <c r="D23" s="172"/>
      <c r="E23" s="172"/>
      <c r="F23" s="172"/>
    </row>
    <row r="24" spans="1:6">
      <c r="A24" s="172"/>
      <c r="B24" s="172"/>
      <c r="C24" s="172"/>
      <c r="D24" s="172"/>
      <c r="E24" s="172"/>
      <c r="F24" s="172"/>
    </row>
    <row r="25" spans="1:6">
      <c r="A25" s="172"/>
      <c r="B25" s="172"/>
      <c r="C25" s="172"/>
      <c r="D25" s="172"/>
      <c r="E25" s="172"/>
      <c r="F25" s="172"/>
    </row>
    <row r="26" spans="1:6">
      <c r="A26" s="172"/>
      <c r="B26" s="172"/>
      <c r="C26" s="172"/>
      <c r="D26" s="172"/>
      <c r="E26" s="172"/>
      <c r="F26" s="172"/>
    </row>
    <row r="27" spans="1:6">
      <c r="A27" s="172"/>
      <c r="B27" s="172"/>
      <c r="C27" s="172"/>
      <c r="D27" s="172"/>
      <c r="E27" s="172"/>
      <c r="F27" s="172"/>
    </row>
    <row r="28" spans="1:6">
      <c r="A28" s="172"/>
      <c r="B28" s="172"/>
      <c r="C28" s="172"/>
      <c r="D28" s="172"/>
      <c r="E28" s="172"/>
      <c r="F28" s="172"/>
    </row>
    <row r="29" spans="1:6">
      <c r="A29" s="172"/>
      <c r="B29" s="172"/>
      <c r="C29" s="172"/>
      <c r="D29" s="172"/>
      <c r="E29" s="172"/>
      <c r="F29" s="172"/>
    </row>
    <row r="30" spans="1:6">
      <c r="A30" s="172"/>
      <c r="B30" s="172"/>
      <c r="C30" s="172"/>
      <c r="D30" s="172"/>
      <c r="E30" s="172"/>
      <c r="F30" s="172"/>
    </row>
    <row r="31" spans="1:6">
      <c r="A31" s="172"/>
      <c r="B31" s="172"/>
      <c r="C31" s="172"/>
      <c r="D31" s="172"/>
      <c r="E31" s="172"/>
      <c r="F31" s="172"/>
    </row>
    <row r="32" spans="1:6">
      <c r="A32" s="172"/>
      <c r="B32" s="172"/>
      <c r="C32" s="172"/>
      <c r="D32" s="172"/>
      <c r="E32" s="172"/>
      <c r="F32" s="172"/>
    </row>
    <row r="33" spans="1:6">
      <c r="A33" s="172"/>
      <c r="B33" s="172"/>
      <c r="C33" s="172"/>
      <c r="D33" s="172"/>
      <c r="E33" s="172"/>
      <c r="F33" s="172"/>
    </row>
  </sheetData>
  <mergeCells count="2">
    <mergeCell ref="A1:G4"/>
    <mergeCell ref="A12:F33"/>
  </mergeCells>
  <pageMargins left="0.7" right="0.7" top="0.75" bottom="0.75" header="0.3" footer="0.3"/>
  <pageSetup paperSize="9" scale="44" orientation="portrait" r:id="rId1"/>
  <headerFooter>
    <oddFooter>&amp;L&amp;"BNPP Type Light,Normal"Direct Connectivity - Schedule updated on &amp;D&amp;R&amp;"BNPP Type Light,Normal"Initials</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062C-6FF6-4975-A334-FE805B44AAED}">
  <sheetPr>
    <tabColor rgb="FFC00000"/>
  </sheetPr>
  <dimension ref="B2:H69"/>
  <sheetViews>
    <sheetView showGridLines="0" view="pageBreakPreview" zoomScale="70" zoomScaleNormal="55" zoomScaleSheetLayoutView="70" zoomScalePageLayoutView="55" workbookViewId="0">
      <selection sqref="A1:Y7"/>
    </sheetView>
  </sheetViews>
  <sheetFormatPr defaultColWidth="5.5703125" defaultRowHeight="14.25"/>
  <cols>
    <col min="1" max="1" width="6.5703125" style="10" customWidth="1"/>
    <col min="2" max="3" width="30.5703125" style="10" customWidth="1"/>
    <col min="4" max="4" width="15.7109375" style="10" customWidth="1"/>
    <col min="5" max="5" width="19" style="10" customWidth="1"/>
    <col min="6" max="6" width="24.7109375" style="10" customWidth="1"/>
    <col min="7" max="7" width="34" style="10" customWidth="1"/>
    <col min="8" max="10" width="4.7109375" style="10" customWidth="1"/>
    <col min="11" max="16384" width="5.5703125" style="10"/>
  </cols>
  <sheetData>
    <row r="2" spans="2:8" ht="14.65" customHeight="1">
      <c r="B2" s="162" t="s">
        <v>2</v>
      </c>
      <c r="C2" s="163"/>
      <c r="D2" s="163"/>
      <c r="E2" s="163"/>
      <c r="F2" s="163"/>
      <c r="G2" s="163"/>
      <c r="H2" s="164"/>
    </row>
    <row r="3" spans="2:8" ht="14.45" customHeight="1">
      <c r="B3" s="165"/>
      <c r="C3" s="166"/>
      <c r="D3" s="166"/>
      <c r="E3" s="166"/>
      <c r="F3" s="166"/>
      <c r="G3" s="166"/>
      <c r="H3" s="167"/>
    </row>
    <row r="4" spans="2:8" ht="21" customHeight="1">
      <c r="B4" s="165"/>
      <c r="C4" s="166"/>
      <c r="D4" s="166"/>
      <c r="E4" s="166"/>
      <c r="F4" s="166"/>
      <c r="G4" s="166"/>
      <c r="H4" s="167"/>
    </row>
    <row r="5" spans="2:8" ht="15" customHeight="1">
      <c r="B5" s="168"/>
      <c r="C5" s="169"/>
      <c r="D5" s="169"/>
      <c r="E5" s="169"/>
      <c r="F5" s="169"/>
      <c r="G5" s="169"/>
      <c r="H5" s="170"/>
    </row>
    <row r="6" spans="2:8" s="8" customFormat="1">
      <c r="B6" s="6" t="str">
        <f>'Sched 3. Tech Params &amp; Contacts'!A5</f>
        <v>Participating User:</v>
      </c>
      <c r="C6" s="3" t="str">
        <f>'Sched 3. Tech Params &amp; Contacts'!B5</f>
        <v>CPSP BELGIË NV</v>
      </c>
      <c r="D6" s="4"/>
      <c r="E6" s="5"/>
      <c r="F6" s="6" t="str">
        <f>'Sched 3. Tech Params &amp; Contacts'!E5</f>
        <v>Internal SGI:</v>
      </c>
      <c r="G6" s="11" t="str">
        <f>'Sched 3. Tech Params &amp; Contacts'!F5</f>
        <v>02468 - TBD</v>
      </c>
      <c r="H6" s="4"/>
    </row>
    <row r="7" spans="2:8" s="8" customFormat="1">
      <c r="B7" s="6" t="str">
        <f>'Sched 3. Tech Params &amp; Contacts'!A6</f>
        <v>Client type:</v>
      </c>
      <c r="C7" s="3" t="str">
        <f>'Sched 3. Tech Params &amp; Contacts'!B6</f>
        <v>Establishement Institutions</v>
      </c>
      <c r="D7" s="4"/>
      <c r="E7" s="5"/>
      <c r="F7" s="6" t="str">
        <f>'Sched 3. Tech Params &amp; Contacts'!E6</f>
        <v>RMPM:</v>
      </c>
      <c r="G7" s="11" t="str">
        <f>'Sched 3. Tech Params &amp; Contacts'!F6</f>
        <v>4AAP510785</v>
      </c>
      <c r="H7" s="4"/>
    </row>
    <row r="8" spans="2:8" s="8" customFormat="1">
      <c r="B8" s="6" t="str">
        <f>'Sched 3. Tech Params &amp; Contacts'!A7</f>
        <v>Country:</v>
      </c>
      <c r="C8" s="3" t="str">
        <f>'Sched 3. Tech Params &amp; Contacts'!B7</f>
        <v>Belgium</v>
      </c>
      <c r="D8" s="4"/>
      <c r="E8" s="5"/>
      <c r="F8" s="6" t="str">
        <f>'Sched 3. Tech Params &amp; Contacts'!E7</f>
        <v>WF / ID:</v>
      </c>
      <c r="G8" s="11" t="str">
        <f>'Sched 3. Tech Params &amp; Contacts'!F7</f>
        <v>TBD</v>
      </c>
      <c r="H8" s="12"/>
    </row>
    <row r="9" spans="2:8" s="8" customFormat="1">
      <c r="B9" s="6" t="str">
        <f>'Sched 3. Tech Params &amp; Contacts'!A8</f>
        <v>Connectivity Info:</v>
      </c>
      <c r="C9" s="3" t="str">
        <f>'Sched 3. Tech Params &amp; Contacts'!B8</f>
        <v>API 4 Corporate</v>
      </c>
      <c r="D9" s="4"/>
      <c r="E9" s="5"/>
      <c r="F9" s="6" t="str">
        <f>'Sched 3. Tech Params &amp; Contacts'!E8</f>
        <v>Contract version:</v>
      </c>
      <c r="G9" s="11" t="str">
        <f>'Sched 3. Tech Params &amp; Contacts'!F8</f>
        <v>DCA Standard</v>
      </c>
      <c r="H9" s="12"/>
    </row>
    <row r="10" spans="2:8" s="8" customFormat="1">
      <c r="B10" s="6" t="str">
        <f>'Sched 3. Tech Params &amp; Contacts'!A9</f>
        <v>Author:</v>
      </c>
      <c r="C10" s="3" t="str">
        <f>'Sched 3. Tech Params &amp; Contacts'!B9</f>
        <v>Frédéric Dufond</v>
      </c>
      <c r="D10" s="4"/>
      <c r="E10" s="5"/>
      <c r="F10" s="6" t="str">
        <f>'Sched 3. Tech Params &amp; Contacts'!E9</f>
        <v>Contracting Bank:</v>
      </c>
      <c r="G10" s="11" t="str">
        <f>'Sched 3. Tech Params &amp; Contacts'!F9</f>
        <v>BNP PARIBAS FORTIS SA</v>
      </c>
      <c r="H10" s="4"/>
    </row>
    <row r="11" spans="2:8" s="8" customFormat="1">
      <c r="B11" s="6" t="str">
        <f>'Sched 3. Tech Params &amp; Contacts'!A10</f>
        <v xml:space="preserve">Client RM/Global CACM : </v>
      </c>
      <c r="C11" s="3" t="str">
        <f>'Sched 3. Tech Params &amp; Contacts'!B10</f>
        <v>Davy Vanwetswinkel</v>
      </c>
      <c r="D11" s="4"/>
      <c r="E11" s="5"/>
      <c r="F11" s="6" t="str">
        <f>'Sched 3. Tech Params &amp; Contacts'!E10</f>
        <v>Last update:</v>
      </c>
      <c r="G11" s="13">
        <f>'Sched 3. Tech Params &amp; Contacts'!F10</f>
        <v>45847</v>
      </c>
      <c r="H11" s="4"/>
    </row>
    <row r="13" spans="2:8" ht="14.45" customHeight="1">
      <c r="B13" s="173" t="s">
        <v>3</v>
      </c>
      <c r="C13" s="173"/>
      <c r="D13" s="173"/>
      <c r="E13" s="173"/>
      <c r="F13" s="173"/>
      <c r="G13" s="173"/>
    </row>
    <row r="14" spans="2:8" ht="14.45" customHeight="1">
      <c r="B14" s="173"/>
      <c r="C14" s="173"/>
      <c r="D14" s="173"/>
      <c r="E14" s="173"/>
      <c r="F14" s="173"/>
      <c r="G14" s="173"/>
    </row>
    <row r="15" spans="2:8" ht="14.45" customHeight="1">
      <c r="B15" s="173"/>
      <c r="C15" s="173"/>
      <c r="D15" s="173"/>
      <c r="E15" s="173"/>
      <c r="F15" s="173"/>
      <c r="G15" s="173"/>
    </row>
    <row r="16" spans="2:8" ht="14.45" customHeight="1">
      <c r="B16" s="173"/>
      <c r="C16" s="173"/>
      <c r="D16" s="173"/>
      <c r="E16" s="173"/>
      <c r="F16" s="173"/>
      <c r="G16" s="173"/>
    </row>
    <row r="17" spans="2:7" ht="14.45" customHeight="1">
      <c r="B17" s="173"/>
      <c r="C17" s="173"/>
      <c r="D17" s="173"/>
      <c r="E17" s="173"/>
      <c r="F17" s="173"/>
      <c r="G17" s="173"/>
    </row>
    <row r="18" spans="2:7" ht="14.45" customHeight="1">
      <c r="B18" s="173"/>
      <c r="C18" s="173"/>
      <c r="D18" s="173"/>
      <c r="E18" s="173"/>
      <c r="F18" s="173"/>
      <c r="G18" s="173"/>
    </row>
    <row r="19" spans="2:7" ht="14.45" customHeight="1">
      <c r="B19" s="173"/>
      <c r="C19" s="173"/>
      <c r="D19" s="173"/>
      <c r="E19" s="173"/>
      <c r="F19" s="173"/>
      <c r="G19" s="173"/>
    </row>
    <row r="20" spans="2:7" ht="14.45" customHeight="1">
      <c r="B20" s="173"/>
      <c r="C20" s="173"/>
      <c r="D20" s="173"/>
      <c r="E20" s="173"/>
      <c r="F20" s="173"/>
      <c r="G20" s="173"/>
    </row>
    <row r="21" spans="2:7" ht="14.45" customHeight="1">
      <c r="B21" s="173"/>
      <c r="C21" s="173"/>
      <c r="D21" s="173"/>
      <c r="E21" s="173"/>
      <c r="F21" s="173"/>
      <c r="G21" s="173"/>
    </row>
    <row r="22" spans="2:7" ht="14.45" customHeight="1">
      <c r="B22" s="173"/>
      <c r="C22" s="173"/>
      <c r="D22" s="173"/>
      <c r="E22" s="173"/>
      <c r="F22" s="173"/>
      <c r="G22" s="173"/>
    </row>
    <row r="23" spans="2:7" ht="14.45" customHeight="1">
      <c r="B23" s="173"/>
      <c r="C23" s="173"/>
      <c r="D23" s="173"/>
      <c r="E23" s="173"/>
      <c r="F23" s="173"/>
      <c r="G23" s="173"/>
    </row>
    <row r="24" spans="2:7" ht="14.45" customHeight="1">
      <c r="B24" s="173"/>
      <c r="C24" s="173"/>
      <c r="D24" s="173"/>
      <c r="E24" s="173"/>
      <c r="F24" s="173"/>
      <c r="G24" s="173"/>
    </row>
    <row r="25" spans="2:7" ht="14.45" customHeight="1">
      <c r="B25" s="173"/>
      <c r="C25" s="173"/>
      <c r="D25" s="173"/>
      <c r="E25" s="173"/>
      <c r="F25" s="173"/>
      <c r="G25" s="173"/>
    </row>
    <row r="26" spans="2:7" ht="14.45" customHeight="1">
      <c r="B26" s="173"/>
      <c r="C26" s="173"/>
      <c r="D26" s="173"/>
      <c r="E26" s="173"/>
      <c r="F26" s="173"/>
      <c r="G26" s="173"/>
    </row>
    <row r="27" spans="2:7" ht="14.45" customHeight="1">
      <c r="B27" s="173"/>
      <c r="C27" s="173"/>
      <c r="D27" s="173"/>
      <c r="E27" s="173"/>
      <c r="F27" s="173"/>
      <c r="G27" s="173"/>
    </row>
    <row r="28" spans="2:7" ht="14.45" customHeight="1">
      <c r="B28" s="173"/>
      <c r="C28" s="173"/>
      <c r="D28" s="173"/>
      <c r="E28" s="173"/>
      <c r="F28" s="173"/>
      <c r="G28" s="173"/>
    </row>
    <row r="29" spans="2:7" ht="14.45" customHeight="1">
      <c r="B29" s="173"/>
      <c r="C29" s="173"/>
      <c r="D29" s="173"/>
      <c r="E29" s="173"/>
      <c r="F29" s="173"/>
      <c r="G29" s="173"/>
    </row>
    <row r="30" spans="2:7" ht="14.45" customHeight="1">
      <c r="B30" s="173"/>
      <c r="C30" s="173"/>
      <c r="D30" s="173"/>
      <c r="E30" s="173"/>
      <c r="F30" s="173"/>
      <c r="G30" s="173"/>
    </row>
    <row r="31" spans="2:7" ht="14.45" customHeight="1">
      <c r="B31" s="173"/>
      <c r="C31" s="173"/>
      <c r="D31" s="173"/>
      <c r="E31" s="173"/>
      <c r="F31" s="173"/>
      <c r="G31" s="173"/>
    </row>
    <row r="32" spans="2:7" ht="14.45" customHeight="1">
      <c r="B32" s="173"/>
      <c r="C32" s="173"/>
      <c r="D32" s="173"/>
      <c r="E32" s="173"/>
      <c r="F32" s="173"/>
      <c r="G32" s="173"/>
    </row>
    <row r="33" spans="2:7" ht="14.45" customHeight="1">
      <c r="B33" s="173"/>
      <c r="C33" s="173"/>
      <c r="D33" s="173"/>
      <c r="E33" s="173"/>
      <c r="F33" s="173"/>
      <c r="G33" s="173"/>
    </row>
    <row r="34" spans="2:7" ht="14.45" customHeight="1">
      <c r="B34" s="173"/>
      <c r="C34" s="173"/>
      <c r="D34" s="173"/>
      <c r="E34" s="173"/>
      <c r="F34" s="173"/>
      <c r="G34" s="173"/>
    </row>
    <row r="35" spans="2:7" ht="14.45" customHeight="1">
      <c r="B35" s="173"/>
      <c r="C35" s="173"/>
      <c r="D35" s="173"/>
      <c r="E35" s="173"/>
      <c r="F35" s="173"/>
      <c r="G35" s="173"/>
    </row>
    <row r="36" spans="2:7" ht="14.45" customHeight="1">
      <c r="B36" s="173"/>
      <c r="C36" s="173"/>
      <c r="D36" s="173"/>
      <c r="E36" s="173"/>
      <c r="F36" s="173"/>
      <c r="G36" s="173"/>
    </row>
    <row r="37" spans="2:7" ht="14.45" customHeight="1">
      <c r="B37" s="173"/>
      <c r="C37" s="173"/>
      <c r="D37" s="173"/>
      <c r="E37" s="173"/>
      <c r="F37" s="173"/>
      <c r="G37" s="173"/>
    </row>
    <row r="38" spans="2:7" ht="14.45" customHeight="1">
      <c r="B38" s="173"/>
      <c r="C38" s="173"/>
      <c r="D38" s="173"/>
      <c r="E38" s="173"/>
      <c r="F38" s="173"/>
      <c r="G38" s="173"/>
    </row>
    <row r="39" spans="2:7" ht="14.45" customHeight="1">
      <c r="B39" s="173"/>
      <c r="C39" s="173"/>
      <c r="D39" s="173"/>
      <c r="E39" s="173"/>
      <c r="F39" s="173"/>
      <c r="G39" s="173"/>
    </row>
    <row r="40" spans="2:7" ht="14.45" customHeight="1">
      <c r="B40" s="173"/>
      <c r="C40" s="173"/>
      <c r="D40" s="173"/>
      <c r="E40" s="173"/>
      <c r="F40" s="173"/>
      <c r="G40" s="173"/>
    </row>
    <row r="41" spans="2:7" ht="14.45" customHeight="1">
      <c r="B41" s="173"/>
      <c r="C41" s="173"/>
      <c r="D41" s="173"/>
      <c r="E41" s="173"/>
      <c r="F41" s="173"/>
      <c r="G41" s="173"/>
    </row>
    <row r="42" spans="2:7" ht="14.45" customHeight="1">
      <c r="B42" s="173"/>
      <c r="C42" s="173"/>
      <c r="D42" s="173"/>
      <c r="E42" s="173"/>
      <c r="F42" s="173"/>
      <c r="G42" s="173"/>
    </row>
    <row r="43" spans="2:7" ht="14.45" customHeight="1">
      <c r="B43" s="173"/>
      <c r="C43" s="173"/>
      <c r="D43" s="173"/>
      <c r="E43" s="173"/>
      <c r="F43" s="173"/>
      <c r="G43" s="173"/>
    </row>
    <row r="44" spans="2:7" ht="14.45" customHeight="1">
      <c r="B44" s="173"/>
      <c r="C44" s="173"/>
      <c r="D44" s="173"/>
      <c r="E44" s="173"/>
      <c r="F44" s="173"/>
      <c r="G44" s="173"/>
    </row>
    <row r="45" spans="2:7" ht="14.45" customHeight="1">
      <c r="B45" s="173"/>
      <c r="C45" s="173"/>
      <c r="D45" s="173"/>
      <c r="E45" s="173"/>
      <c r="F45" s="173"/>
      <c r="G45" s="173"/>
    </row>
    <row r="46" spans="2:7" ht="14.45" customHeight="1">
      <c r="B46" s="173"/>
      <c r="C46" s="173"/>
      <c r="D46" s="173"/>
      <c r="E46" s="173"/>
      <c r="F46" s="173"/>
      <c r="G46" s="173"/>
    </row>
    <row r="47" spans="2:7" ht="14.45" customHeight="1">
      <c r="B47" s="173"/>
      <c r="C47" s="173"/>
      <c r="D47" s="173"/>
      <c r="E47" s="173"/>
      <c r="F47" s="173"/>
      <c r="G47" s="173"/>
    </row>
    <row r="48" spans="2:7" ht="14.45" customHeight="1">
      <c r="B48" s="173"/>
      <c r="C48" s="173"/>
      <c r="D48" s="173"/>
      <c r="E48" s="173"/>
      <c r="F48" s="173"/>
      <c r="G48" s="173"/>
    </row>
    <row r="49" spans="2:7" ht="14.45" customHeight="1">
      <c r="B49" s="173"/>
      <c r="C49" s="173"/>
      <c r="D49" s="173"/>
      <c r="E49" s="173"/>
      <c r="F49" s="173"/>
      <c r="G49" s="173"/>
    </row>
    <row r="50" spans="2:7" ht="14.45" customHeight="1">
      <c r="B50" s="173"/>
      <c r="C50" s="173"/>
      <c r="D50" s="173"/>
      <c r="E50" s="173"/>
      <c r="F50" s="173"/>
      <c r="G50" s="173"/>
    </row>
    <row r="51" spans="2:7" ht="14.45" customHeight="1">
      <c r="B51" s="173"/>
      <c r="C51" s="173"/>
      <c r="D51" s="173"/>
      <c r="E51" s="173"/>
      <c r="F51" s="173"/>
      <c r="G51" s="173"/>
    </row>
    <row r="52" spans="2:7" ht="14.45" customHeight="1">
      <c r="B52" s="173"/>
      <c r="C52" s="173"/>
      <c r="D52" s="173"/>
      <c r="E52" s="173"/>
      <c r="F52" s="173"/>
      <c r="G52" s="173"/>
    </row>
    <row r="53" spans="2:7" ht="14.45" customHeight="1">
      <c r="B53" s="173"/>
      <c r="C53" s="173"/>
      <c r="D53" s="173"/>
      <c r="E53" s="173"/>
      <c r="F53" s="173"/>
      <c r="G53" s="173"/>
    </row>
    <row r="54" spans="2:7" ht="14.45" customHeight="1">
      <c r="B54" s="173"/>
      <c r="C54" s="173"/>
      <c r="D54" s="173"/>
      <c r="E54" s="173"/>
      <c r="F54" s="173"/>
      <c r="G54" s="173"/>
    </row>
    <row r="55" spans="2:7" ht="14.45" customHeight="1">
      <c r="B55" s="173"/>
      <c r="C55" s="173"/>
      <c r="D55" s="173"/>
      <c r="E55" s="173"/>
      <c r="F55" s="173"/>
      <c r="G55" s="173"/>
    </row>
    <row r="56" spans="2:7" ht="14.45" customHeight="1">
      <c r="B56" s="173"/>
      <c r="C56" s="173"/>
      <c r="D56" s="173"/>
      <c r="E56" s="173"/>
      <c r="F56" s="173"/>
      <c r="G56" s="173"/>
    </row>
    <row r="57" spans="2:7" ht="14.45" customHeight="1">
      <c r="B57" s="173"/>
      <c r="C57" s="173"/>
      <c r="D57" s="173"/>
      <c r="E57" s="173"/>
      <c r="F57" s="173"/>
      <c r="G57" s="173"/>
    </row>
    <row r="58" spans="2:7" ht="14.45" customHeight="1">
      <c r="B58" s="173"/>
      <c r="C58" s="173"/>
      <c r="D58" s="173"/>
      <c r="E58" s="173"/>
      <c r="F58" s="173"/>
      <c r="G58" s="173"/>
    </row>
    <row r="59" spans="2:7" ht="14.45" customHeight="1">
      <c r="B59" s="173"/>
      <c r="C59" s="173"/>
      <c r="D59" s="173"/>
      <c r="E59" s="173"/>
      <c r="F59" s="173"/>
      <c r="G59" s="173"/>
    </row>
    <row r="60" spans="2:7" ht="14.45" customHeight="1">
      <c r="B60" s="173"/>
      <c r="C60" s="173"/>
      <c r="D60" s="173"/>
      <c r="E60" s="173"/>
      <c r="F60" s="173"/>
      <c r="G60" s="173"/>
    </row>
    <row r="61" spans="2:7" ht="14.45" customHeight="1">
      <c r="B61" s="173"/>
      <c r="C61" s="173"/>
      <c r="D61" s="173"/>
      <c r="E61" s="173"/>
      <c r="F61" s="173"/>
      <c r="G61" s="173"/>
    </row>
    <row r="62" spans="2:7" ht="14.45" customHeight="1">
      <c r="B62" s="173"/>
      <c r="C62" s="173"/>
      <c r="D62" s="173"/>
      <c r="E62" s="173"/>
      <c r="F62" s="173"/>
      <c r="G62" s="173"/>
    </row>
    <row r="63" spans="2:7" ht="14.45" customHeight="1">
      <c r="B63" s="173"/>
      <c r="C63" s="173"/>
      <c r="D63" s="173"/>
      <c r="E63" s="173"/>
      <c r="F63" s="173"/>
      <c r="G63" s="173"/>
    </row>
    <row r="64" spans="2:7" ht="14.45" customHeight="1">
      <c r="B64" s="173"/>
      <c r="C64" s="173"/>
      <c r="D64" s="173"/>
      <c r="E64" s="173"/>
      <c r="F64" s="173"/>
      <c r="G64" s="173"/>
    </row>
    <row r="65" spans="2:7">
      <c r="B65" s="173"/>
      <c r="C65" s="173"/>
      <c r="D65" s="173"/>
      <c r="E65" s="173"/>
      <c r="F65" s="173"/>
      <c r="G65" s="173"/>
    </row>
    <row r="66" spans="2:7">
      <c r="B66" s="173"/>
      <c r="C66" s="173"/>
      <c r="D66" s="173"/>
      <c r="E66" s="173"/>
      <c r="F66" s="173"/>
      <c r="G66" s="173"/>
    </row>
    <row r="67" spans="2:7">
      <c r="B67" s="173"/>
      <c r="C67" s="173"/>
      <c r="D67" s="173"/>
      <c r="E67" s="173"/>
      <c r="F67" s="173"/>
      <c r="G67" s="173"/>
    </row>
    <row r="68" spans="2:7">
      <c r="B68" s="173"/>
      <c r="C68" s="173"/>
      <c r="D68" s="173"/>
      <c r="E68" s="173"/>
      <c r="F68" s="173"/>
      <c r="G68" s="173"/>
    </row>
    <row r="69" spans="2:7">
      <c r="B69" s="173"/>
      <c r="C69" s="173"/>
      <c r="D69" s="173"/>
      <c r="E69" s="173"/>
      <c r="F69" s="173"/>
      <c r="G69" s="173"/>
    </row>
  </sheetData>
  <mergeCells count="2">
    <mergeCell ref="B2:H5"/>
    <mergeCell ref="B13:G69"/>
  </mergeCells>
  <pageMargins left="0.7" right="0.7" top="0.75" bottom="0.75" header="0.3" footer="0.3"/>
  <pageSetup paperSize="9" scale="52" orientation="portrait" r:id="rId1"/>
  <headerFooter>
    <oddFooter>&amp;L&amp;"BNPP Type Light,Normal"Direct Connectivity - Schedule updated on &amp;D&amp;R&amp;"BNPP Type Light,Normal"Initials</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963E-B02F-40C3-8210-7254114D1FF4}">
  <sheetPr>
    <tabColor rgb="FFC00000"/>
    <pageSetUpPr fitToPage="1"/>
  </sheetPr>
  <dimension ref="A1:F432"/>
  <sheetViews>
    <sheetView showGridLines="0" view="pageBreakPreview" zoomScaleNormal="85" zoomScaleSheetLayoutView="100" zoomScalePageLayoutView="85" workbookViewId="0">
      <selection sqref="A1:Y7"/>
    </sheetView>
  </sheetViews>
  <sheetFormatPr defaultColWidth="5.5703125" defaultRowHeight="14.25"/>
  <cols>
    <col min="1" max="1" width="41.42578125" style="10" customWidth="1"/>
    <col min="2" max="2" width="22.7109375" style="10" customWidth="1"/>
    <col min="3" max="3" width="17.7109375" style="10" customWidth="1"/>
    <col min="4" max="4" width="23.85546875" style="10" customWidth="1"/>
    <col min="5" max="5" width="25.28515625" style="10" customWidth="1"/>
    <col min="6" max="6" width="30.28515625" style="10" customWidth="1"/>
    <col min="7" max="11" width="4.7109375" style="10" customWidth="1"/>
    <col min="12" max="16384" width="5.5703125" style="10"/>
  </cols>
  <sheetData>
    <row r="1" spans="1:6" ht="14.65" customHeight="1">
      <c r="A1" s="162" t="s">
        <v>4</v>
      </c>
      <c r="B1" s="163"/>
      <c r="C1" s="163"/>
      <c r="D1" s="163"/>
      <c r="E1" s="163"/>
      <c r="F1" s="164"/>
    </row>
    <row r="2" spans="1:6" ht="14.45" customHeight="1">
      <c r="A2" s="165"/>
      <c r="B2" s="166"/>
      <c r="C2" s="166"/>
      <c r="D2" s="166"/>
      <c r="E2" s="166"/>
      <c r="F2" s="167"/>
    </row>
    <row r="3" spans="1:6" ht="15" customHeight="1">
      <c r="A3" s="165"/>
      <c r="B3" s="166"/>
      <c r="C3" s="166"/>
      <c r="D3" s="166"/>
      <c r="E3" s="166"/>
      <c r="F3" s="167"/>
    </row>
    <row r="4" spans="1:6" ht="15" customHeight="1">
      <c r="A4" s="168"/>
      <c r="B4" s="169"/>
      <c r="C4" s="169"/>
      <c r="D4" s="169"/>
      <c r="E4" s="169"/>
      <c r="F4" s="170"/>
    </row>
    <row r="5" spans="1:6" s="8" customFormat="1">
      <c r="A5" s="6" t="s">
        <v>5</v>
      </c>
      <c r="B5" s="4" t="s">
        <v>6</v>
      </c>
      <c r="C5" s="4"/>
      <c r="D5" s="4"/>
      <c r="E5" s="6" t="s">
        <v>7</v>
      </c>
      <c r="F5" s="4" t="s">
        <v>8</v>
      </c>
    </row>
    <row r="6" spans="1:6" s="8" customFormat="1">
      <c r="A6" s="6" t="s">
        <v>9</v>
      </c>
      <c r="B6" s="4" t="s">
        <v>10</v>
      </c>
      <c r="C6" s="4"/>
      <c r="D6" s="4"/>
      <c r="E6" s="6" t="s">
        <v>11</v>
      </c>
      <c r="F6" s="4" t="s">
        <v>12</v>
      </c>
    </row>
    <row r="7" spans="1:6" s="8" customFormat="1">
      <c r="A7" s="6" t="s">
        <v>13</v>
      </c>
      <c r="B7" s="4" t="s">
        <v>14</v>
      </c>
      <c r="C7" s="4"/>
      <c r="D7" s="4"/>
      <c r="E7" s="6" t="s">
        <v>15</v>
      </c>
      <c r="F7" s="4" t="s">
        <v>16</v>
      </c>
    </row>
    <row r="8" spans="1:6" s="8" customFormat="1">
      <c r="A8" s="6" t="s">
        <v>17</v>
      </c>
      <c r="B8" s="4" t="s">
        <v>18</v>
      </c>
      <c r="C8" s="4"/>
      <c r="D8" s="4"/>
      <c r="E8" s="6" t="s">
        <v>19</v>
      </c>
      <c r="F8" s="4" t="s">
        <v>20</v>
      </c>
    </row>
    <row r="9" spans="1:6" s="8" customFormat="1">
      <c r="A9" s="6" t="s">
        <v>21</v>
      </c>
      <c r="B9" s="4" t="s">
        <v>22</v>
      </c>
      <c r="C9" s="4"/>
      <c r="D9" s="4"/>
      <c r="E9" s="6" t="s">
        <v>23</v>
      </c>
      <c r="F9" s="4" t="s">
        <v>24</v>
      </c>
    </row>
    <row r="10" spans="1:6" s="8" customFormat="1">
      <c r="A10" s="6" t="s">
        <v>25</v>
      </c>
      <c r="B10" s="4" t="s">
        <v>26</v>
      </c>
      <c r="C10" s="4"/>
      <c r="D10" s="4"/>
      <c r="E10" s="6" t="s">
        <v>27</v>
      </c>
      <c r="F10" s="4">
        <v>45847</v>
      </c>
    </row>
    <row r="11" spans="1:6" s="14" customFormat="1" ht="14.65" customHeight="1">
      <c r="A11" s="202" t="s">
        <v>28</v>
      </c>
      <c r="B11" s="202"/>
      <c r="C11" s="202"/>
      <c r="D11" s="202"/>
      <c r="E11" s="202"/>
      <c r="F11" s="202"/>
    </row>
    <row r="12" spans="1:6" ht="15.75">
      <c r="A12" s="15" t="s">
        <v>29</v>
      </c>
      <c r="B12" s="16"/>
      <c r="C12" s="17"/>
      <c r="D12" s="18"/>
      <c r="E12" s="16"/>
      <c r="F12" s="17"/>
    </row>
    <row r="13" spans="1:6">
      <c r="A13" s="19" t="s">
        <v>30</v>
      </c>
      <c r="B13" s="20" t="s">
        <v>31</v>
      </c>
      <c r="C13" s="21"/>
      <c r="D13" s="22" t="s">
        <v>30</v>
      </c>
      <c r="E13" s="20" t="s">
        <v>32</v>
      </c>
      <c r="F13" s="21"/>
    </row>
    <row r="14" spans="1:6" ht="14.65" customHeight="1">
      <c r="A14" s="19" t="s">
        <v>33</v>
      </c>
      <c r="B14" s="23" t="s">
        <v>34</v>
      </c>
      <c r="C14" s="21"/>
      <c r="D14" s="19" t="s">
        <v>33</v>
      </c>
      <c r="E14" s="23" t="s">
        <v>35</v>
      </c>
      <c r="F14" s="21"/>
    </row>
    <row r="15" spans="1:6" ht="14.65" customHeight="1">
      <c r="A15" s="24"/>
      <c r="B15" s="25"/>
      <c r="C15" s="21"/>
      <c r="D15" s="19"/>
      <c r="E15" s="21"/>
      <c r="F15" s="21"/>
    </row>
    <row r="16" spans="1:6" ht="14.65" customHeight="1">
      <c r="A16" s="24"/>
      <c r="B16" s="25"/>
      <c r="C16" s="21"/>
      <c r="D16" s="19"/>
      <c r="E16" s="26"/>
      <c r="F16" s="21"/>
    </row>
    <row r="17" spans="1:6" ht="14.65" customHeight="1">
      <c r="A17" s="24" t="s">
        <v>36</v>
      </c>
      <c r="B17" s="25" t="s">
        <v>37</v>
      </c>
      <c r="C17" s="21"/>
      <c r="D17" s="19" t="s">
        <v>36</v>
      </c>
      <c r="E17" s="25" t="str">
        <f>B17</f>
        <v>________________________________________</v>
      </c>
      <c r="F17" s="21"/>
    </row>
    <row r="18" spans="1:6" ht="14.65" customHeight="1">
      <c r="A18" s="27"/>
      <c r="B18" s="25"/>
      <c r="C18" s="21"/>
      <c r="D18" s="28"/>
      <c r="E18" s="26"/>
      <c r="F18" s="21"/>
    </row>
    <row r="19" spans="1:6" ht="14.65" customHeight="1">
      <c r="A19" s="15" t="s">
        <v>38</v>
      </c>
      <c r="B19" s="16"/>
      <c r="C19" s="16"/>
      <c r="D19" s="16"/>
      <c r="E19" s="16"/>
      <c r="F19" s="16"/>
    </row>
    <row r="20" spans="1:6">
      <c r="A20" s="195" t="s">
        <v>39</v>
      </c>
      <c r="B20" s="195"/>
      <c r="C20" s="195"/>
      <c r="D20" s="195"/>
      <c r="E20" s="195"/>
      <c r="F20" s="195"/>
    </row>
    <row r="21" spans="1:6" ht="14.65" customHeight="1">
      <c r="F21" s="29"/>
    </row>
    <row r="22" spans="1:6" ht="14.65" customHeight="1">
      <c r="A22" s="19" t="s">
        <v>40</v>
      </c>
      <c r="B22" s="26" t="s">
        <v>6</v>
      </c>
      <c r="D22" s="22" t="s">
        <v>41</v>
      </c>
      <c r="E22" s="30" t="s">
        <v>42</v>
      </c>
      <c r="F22" s="29"/>
    </row>
    <row r="23" spans="1:6" ht="14.65" customHeight="1">
      <c r="A23" s="19"/>
      <c r="B23" s="26" t="s">
        <v>43</v>
      </c>
      <c r="D23" s="30"/>
      <c r="E23" s="26" t="s">
        <v>44</v>
      </c>
      <c r="F23" s="29"/>
    </row>
    <row r="24" spans="1:6" ht="14.65" customHeight="1">
      <c r="B24" s="26" t="s">
        <v>45</v>
      </c>
      <c r="E24" s="26" t="s">
        <v>46</v>
      </c>
      <c r="F24" s="29"/>
    </row>
    <row r="25" spans="1:6" ht="14.65" customHeight="1">
      <c r="B25" s="26" t="s">
        <v>14</v>
      </c>
      <c r="E25" s="26" t="s">
        <v>47</v>
      </c>
      <c r="F25" s="29"/>
    </row>
    <row r="26" spans="1:6" ht="14.65" customHeight="1">
      <c r="A26" s="15" t="s">
        <v>48</v>
      </c>
      <c r="B26" s="16"/>
      <c r="C26" s="16"/>
      <c r="D26" s="16"/>
      <c r="E26" s="16"/>
      <c r="F26" s="16"/>
    </row>
    <row r="27" spans="1:6" ht="14.65" customHeight="1">
      <c r="A27" s="10" t="s">
        <v>49</v>
      </c>
      <c r="F27" s="29"/>
    </row>
    <row r="28" spans="1:6" ht="14.65" customHeight="1">
      <c r="A28" s="10" t="s">
        <v>50</v>
      </c>
      <c r="F28" s="29"/>
    </row>
    <row r="29" spans="1:6" ht="14.65" customHeight="1">
      <c r="F29" s="29"/>
    </row>
    <row r="30" spans="1:6" ht="16.149999999999999" customHeight="1">
      <c r="A30" s="31"/>
      <c r="B30" s="203" t="s">
        <v>51</v>
      </c>
      <c r="C30" s="204"/>
      <c r="D30" s="203" t="s">
        <v>52</v>
      </c>
      <c r="E30" s="204"/>
      <c r="F30" s="29"/>
    </row>
    <row r="31" spans="1:6" ht="13.9" customHeight="1">
      <c r="A31" s="32" t="s">
        <v>53</v>
      </c>
      <c r="B31" s="205" t="s">
        <v>54</v>
      </c>
      <c r="C31" s="206"/>
      <c r="D31" s="205" t="s">
        <v>55</v>
      </c>
      <c r="E31" s="206"/>
      <c r="F31" s="29"/>
    </row>
    <row r="32" spans="1:6">
      <c r="A32" s="26"/>
      <c r="B32" s="26"/>
      <c r="C32" s="26"/>
      <c r="D32" s="26"/>
      <c r="E32" s="26"/>
      <c r="F32" s="26"/>
    </row>
    <row r="33" spans="1:6" ht="14.65" customHeight="1">
      <c r="A33" s="15" t="s">
        <v>56</v>
      </c>
      <c r="B33" s="16"/>
      <c r="C33" s="16"/>
      <c r="D33" s="16"/>
      <c r="E33" s="16"/>
      <c r="F33" s="16"/>
    </row>
    <row r="34" spans="1:6" ht="14.65" customHeight="1">
      <c r="A34" s="33"/>
      <c r="F34" s="29"/>
    </row>
    <row r="35" spans="1:6">
      <c r="A35" s="34" t="s">
        <v>57</v>
      </c>
      <c r="B35" s="196" t="s">
        <v>58</v>
      </c>
      <c r="C35" s="197"/>
      <c r="D35" s="197"/>
      <c r="E35" s="198"/>
      <c r="F35" s="29"/>
    </row>
    <row r="36" spans="1:6">
      <c r="A36" s="34" t="s">
        <v>59</v>
      </c>
      <c r="B36" s="196" t="s">
        <v>58</v>
      </c>
      <c r="C36" s="197"/>
      <c r="D36" s="197"/>
      <c r="E36" s="198"/>
      <c r="F36" s="29"/>
    </row>
    <row r="37" spans="1:6">
      <c r="A37" s="34" t="s">
        <v>60</v>
      </c>
      <c r="B37" s="196" t="s">
        <v>58</v>
      </c>
      <c r="C37" s="197"/>
      <c r="D37" s="197"/>
      <c r="E37" s="198"/>
      <c r="F37" s="29"/>
    </row>
    <row r="38" spans="1:6">
      <c r="A38" s="34" t="s">
        <v>61</v>
      </c>
      <c r="B38" s="196" t="s">
        <v>58</v>
      </c>
      <c r="C38" s="197"/>
      <c r="D38" s="197"/>
      <c r="E38" s="198"/>
      <c r="F38" s="29"/>
    </row>
    <row r="39" spans="1:6">
      <c r="A39" s="29"/>
      <c r="B39" s="35"/>
      <c r="C39" s="35"/>
      <c r="D39" s="35"/>
      <c r="E39" s="35"/>
      <c r="F39" s="29"/>
    </row>
    <row r="40" spans="1:6">
      <c r="A40" s="34" t="s">
        <v>62</v>
      </c>
      <c r="B40" s="199" t="s">
        <v>58</v>
      </c>
      <c r="C40" s="200"/>
      <c r="D40" s="200"/>
      <c r="E40" s="201"/>
      <c r="F40" s="29"/>
    </row>
    <row r="41" spans="1:6">
      <c r="A41" s="34" t="s">
        <v>63</v>
      </c>
      <c r="B41" s="199" t="s">
        <v>58</v>
      </c>
      <c r="C41" s="200"/>
      <c r="D41" s="200"/>
      <c r="E41" s="201"/>
      <c r="F41" s="29"/>
    </row>
    <row r="42" spans="1:6">
      <c r="A42" s="34" t="s">
        <v>64</v>
      </c>
      <c r="B42" s="190" t="s">
        <v>65</v>
      </c>
      <c r="C42" s="191"/>
      <c r="D42" s="191"/>
      <c r="E42" s="192"/>
      <c r="F42" s="29"/>
    </row>
    <row r="43" spans="1:6">
      <c r="F43" s="29"/>
    </row>
    <row r="44" spans="1:6">
      <c r="A44" s="36" t="s">
        <v>66</v>
      </c>
      <c r="B44" s="16"/>
      <c r="C44" s="16"/>
      <c r="D44" s="16"/>
      <c r="E44" s="16"/>
      <c r="F44" s="16"/>
    </row>
    <row r="45" spans="1:6">
      <c r="A45" s="33" t="s">
        <v>67</v>
      </c>
      <c r="C45" s="193" t="s">
        <v>68</v>
      </c>
      <c r="D45" s="193"/>
      <c r="E45" s="193"/>
    </row>
    <row r="46" spans="1:6">
      <c r="A46" s="29"/>
      <c r="C46" s="193" t="s">
        <v>69</v>
      </c>
      <c r="D46" s="193"/>
      <c r="E46" s="193"/>
    </row>
    <row r="47" spans="1:6">
      <c r="A47" s="37" t="s">
        <v>70</v>
      </c>
      <c r="C47" s="194" t="s">
        <v>71</v>
      </c>
      <c r="D47" s="194"/>
      <c r="E47" s="194"/>
    </row>
    <row r="48" spans="1:6">
      <c r="A48" s="39" t="s">
        <v>72</v>
      </c>
      <c r="C48" s="194" t="s">
        <v>71</v>
      </c>
      <c r="D48" s="194"/>
      <c r="E48" s="194"/>
    </row>
    <row r="49" spans="1:6">
      <c r="A49" s="29"/>
    </row>
    <row r="50" spans="1:6">
      <c r="A50" s="37" t="s">
        <v>73</v>
      </c>
      <c r="B50" s="40"/>
      <c r="C50" s="40"/>
      <c r="D50" s="40"/>
      <c r="E50" s="40"/>
      <c r="F50" s="29"/>
    </row>
    <row r="51" spans="1:6">
      <c r="A51" s="37" t="s">
        <v>74</v>
      </c>
      <c r="B51" s="40"/>
      <c r="C51" s="40"/>
      <c r="D51" s="40"/>
      <c r="E51" s="40"/>
      <c r="F51" s="29"/>
    </row>
    <row r="52" spans="1:6">
      <c r="A52" s="37" t="s">
        <v>75</v>
      </c>
      <c r="B52" s="40"/>
      <c r="C52" s="40"/>
      <c r="D52" s="40"/>
      <c r="E52" s="40"/>
      <c r="F52" s="29"/>
    </row>
    <row r="53" spans="1:6">
      <c r="A53" s="33"/>
      <c r="B53" s="33"/>
      <c r="C53" s="33"/>
      <c r="D53" s="33"/>
      <c r="E53" s="33"/>
      <c r="F53" s="40"/>
    </row>
    <row r="54" spans="1:6" ht="14.65" customHeight="1">
      <c r="A54" s="15" t="s">
        <v>76</v>
      </c>
      <c r="B54" s="16"/>
      <c r="C54" s="16"/>
      <c r="D54" s="16"/>
      <c r="E54" s="16"/>
      <c r="F54" s="16"/>
    </row>
    <row r="55" spans="1:6">
      <c r="A55" s="195" t="s">
        <v>39</v>
      </c>
      <c r="B55" s="195"/>
      <c r="C55" s="195"/>
      <c r="D55" s="195"/>
      <c r="E55" s="195"/>
      <c r="F55" s="195"/>
    </row>
    <row r="56" spans="1:6" ht="14.65" customHeight="1">
      <c r="F56" s="29"/>
    </row>
    <row r="57" spans="1:6" ht="14.65" customHeight="1">
      <c r="A57" s="19" t="s">
        <v>40</v>
      </c>
      <c r="B57" s="26" t="str">
        <f>B22</f>
        <v>CPSP BELGIË NV</v>
      </c>
      <c r="D57" s="22" t="s">
        <v>41</v>
      </c>
      <c r="E57" s="30" t="s">
        <v>42</v>
      </c>
      <c r="F57" s="29"/>
    </row>
    <row r="58" spans="1:6" ht="14.65" customHeight="1">
      <c r="A58" s="19"/>
      <c r="B58" s="26" t="str">
        <f>B23</f>
        <v>Polstelsesteenweg 100</v>
      </c>
      <c r="D58" s="30"/>
      <c r="E58" s="26" t="s">
        <v>44</v>
      </c>
      <c r="F58" s="29"/>
    </row>
    <row r="59" spans="1:6" ht="14.65" customHeight="1">
      <c r="B59" s="26" t="str">
        <f>B24</f>
        <v>2400 MOL</v>
      </c>
      <c r="E59" s="26" t="s">
        <v>46</v>
      </c>
      <c r="F59" s="29"/>
    </row>
    <row r="60" spans="1:6" ht="14.65" customHeight="1">
      <c r="B60" s="26" t="str">
        <f>B25</f>
        <v>Belgium</v>
      </c>
      <c r="E60" s="26" t="s">
        <v>47</v>
      </c>
      <c r="F60" s="29"/>
    </row>
    <row r="61" spans="1:6">
      <c r="A61" s="41"/>
      <c r="B61" s="41"/>
      <c r="C61" s="41"/>
      <c r="D61" s="188"/>
      <c r="E61" s="188"/>
      <c r="F61" s="42"/>
    </row>
    <row r="62" spans="1:6">
      <c r="A62" s="38" t="s">
        <v>77</v>
      </c>
      <c r="B62" s="43"/>
      <c r="C62" s="43"/>
      <c r="D62" s="187"/>
      <c r="E62" s="187"/>
      <c r="F62" s="44"/>
    </row>
    <row r="63" spans="1:6">
      <c r="A63" s="189" t="s">
        <v>78</v>
      </c>
      <c r="B63" s="189"/>
      <c r="C63" s="189"/>
      <c r="D63" s="189"/>
      <c r="E63" s="189"/>
      <c r="F63" s="189"/>
    </row>
    <row r="64" spans="1:6">
      <c r="F64" s="45"/>
    </row>
    <row r="65" spans="1:6">
      <c r="A65" s="46" t="s">
        <v>79</v>
      </c>
      <c r="B65" s="43"/>
      <c r="C65" s="43"/>
      <c r="D65" s="187"/>
      <c r="E65" s="187"/>
      <c r="F65" s="44"/>
    </row>
    <row r="66" spans="1:6">
      <c r="A66" s="22" t="s">
        <v>80</v>
      </c>
      <c r="B66" s="22"/>
      <c r="C66" s="22"/>
      <c r="D66" s="47"/>
      <c r="E66" s="47"/>
      <c r="F66" s="44"/>
    </row>
    <row r="67" spans="1:6">
      <c r="A67" s="48" t="s">
        <v>81</v>
      </c>
      <c r="B67" s="177" t="s">
        <v>82</v>
      </c>
      <c r="C67" s="178"/>
      <c r="D67" s="179" t="s">
        <v>83</v>
      </c>
      <c r="E67" s="179"/>
      <c r="F67" s="48" t="s">
        <v>84</v>
      </c>
    </row>
    <row r="68" spans="1:6">
      <c r="A68" s="49" t="s">
        <v>85</v>
      </c>
      <c r="B68" s="183" t="s">
        <v>85</v>
      </c>
      <c r="C68" s="184"/>
      <c r="D68" s="185" t="s">
        <v>85</v>
      </c>
      <c r="E68" s="186"/>
      <c r="F68" s="49" t="s">
        <v>86</v>
      </c>
    </row>
    <row r="69" spans="1:6">
      <c r="A69" s="49" t="s">
        <v>85</v>
      </c>
      <c r="B69" s="183" t="s">
        <v>85</v>
      </c>
      <c r="C69" s="184"/>
      <c r="D69" s="185" t="s">
        <v>85</v>
      </c>
      <c r="E69" s="186"/>
      <c r="F69" s="49" t="s">
        <v>86</v>
      </c>
    </row>
    <row r="70" spans="1:6">
      <c r="F70" s="45"/>
    </row>
    <row r="71" spans="1:6">
      <c r="A71" s="22" t="s">
        <v>87</v>
      </c>
      <c r="B71" s="22"/>
      <c r="C71" s="22"/>
      <c r="D71" s="187"/>
      <c r="E71" s="187"/>
      <c r="F71" s="44"/>
    </row>
    <row r="72" spans="1:6">
      <c r="A72" s="48" t="s">
        <v>81</v>
      </c>
      <c r="B72" s="177" t="s">
        <v>88</v>
      </c>
      <c r="C72" s="178"/>
      <c r="D72" s="179" t="s">
        <v>83</v>
      </c>
      <c r="E72" s="179"/>
      <c r="F72" s="48" t="s">
        <v>84</v>
      </c>
    </row>
    <row r="73" spans="1:6">
      <c r="A73" s="49" t="s">
        <v>85</v>
      </c>
      <c r="B73" s="183" t="s">
        <v>85</v>
      </c>
      <c r="C73" s="184"/>
      <c r="D73" s="185" t="s">
        <v>85</v>
      </c>
      <c r="E73" s="186"/>
      <c r="F73" s="49" t="s">
        <v>86</v>
      </c>
    </row>
    <row r="74" spans="1:6">
      <c r="A74" s="26"/>
      <c r="F74" s="45"/>
    </row>
    <row r="75" spans="1:6">
      <c r="A75" s="22" t="s">
        <v>89</v>
      </c>
      <c r="B75" s="22"/>
      <c r="C75" s="22"/>
      <c r="D75" s="187"/>
      <c r="E75" s="187"/>
      <c r="F75" s="44"/>
    </row>
    <row r="76" spans="1:6">
      <c r="A76" s="48" t="s">
        <v>81</v>
      </c>
      <c r="B76" s="177" t="s">
        <v>88</v>
      </c>
      <c r="C76" s="178"/>
      <c r="D76" s="179" t="s">
        <v>83</v>
      </c>
      <c r="E76" s="179"/>
      <c r="F76" s="48" t="s">
        <v>84</v>
      </c>
    </row>
    <row r="77" spans="1:6">
      <c r="A77" s="49" t="s">
        <v>85</v>
      </c>
      <c r="B77" s="183" t="s">
        <v>85</v>
      </c>
      <c r="C77" s="184"/>
      <c r="D77" s="185" t="s">
        <v>85</v>
      </c>
      <c r="E77" s="186"/>
      <c r="F77" s="49" t="s">
        <v>86</v>
      </c>
    </row>
    <row r="78" spans="1:6">
      <c r="A78" s="26"/>
      <c r="F78" s="45"/>
    </row>
    <row r="79" spans="1:6">
      <c r="A79" s="50" t="s">
        <v>90</v>
      </c>
      <c r="B79" s="22"/>
      <c r="C79" s="22"/>
      <c r="D79" s="47"/>
      <c r="E79" s="47"/>
      <c r="F79" s="44"/>
    </row>
    <row r="80" spans="1:6">
      <c r="A80" s="48" t="s">
        <v>81</v>
      </c>
      <c r="B80" s="177" t="s">
        <v>88</v>
      </c>
      <c r="C80" s="178"/>
      <c r="D80" s="179" t="s">
        <v>83</v>
      </c>
      <c r="E80" s="179"/>
      <c r="F80" s="48" t="s">
        <v>84</v>
      </c>
    </row>
    <row r="81" spans="1:6">
      <c r="A81" s="49" t="s">
        <v>85</v>
      </c>
      <c r="B81" s="183" t="s">
        <v>85</v>
      </c>
      <c r="C81" s="184"/>
      <c r="D81" s="185" t="s">
        <v>85</v>
      </c>
      <c r="E81" s="186"/>
      <c r="F81" s="49" t="s">
        <v>86</v>
      </c>
    </row>
    <row r="82" spans="1:6">
      <c r="A82" s="49"/>
      <c r="B82" s="183" t="s">
        <v>85</v>
      </c>
      <c r="C82" s="184"/>
      <c r="D82" s="185" t="s">
        <v>85</v>
      </c>
      <c r="E82" s="186"/>
      <c r="F82" s="49"/>
    </row>
    <row r="83" spans="1:6">
      <c r="F83" s="45"/>
    </row>
    <row r="84" spans="1:6">
      <c r="A84" s="46" t="s">
        <v>91</v>
      </c>
    </row>
    <row r="85" spans="1:6" ht="15" customHeight="1">
      <c r="A85" s="48" t="s">
        <v>81</v>
      </c>
      <c r="B85" s="177" t="s">
        <v>88</v>
      </c>
      <c r="C85" s="178"/>
      <c r="D85" s="179" t="s">
        <v>83</v>
      </c>
      <c r="E85" s="179"/>
      <c r="F85" s="48" t="s">
        <v>84</v>
      </c>
    </row>
    <row r="86" spans="1:6">
      <c r="A86" s="51" t="s">
        <v>92</v>
      </c>
      <c r="B86" s="174" t="s">
        <v>93</v>
      </c>
      <c r="C86" s="175"/>
      <c r="D86" s="180" t="s">
        <v>94</v>
      </c>
      <c r="E86" s="176"/>
      <c r="F86" s="52" t="s">
        <v>86</v>
      </c>
    </row>
    <row r="87" spans="1:6" ht="15">
      <c r="A87" s="52" t="s">
        <v>26</v>
      </c>
      <c r="B87" s="181" t="s">
        <v>95</v>
      </c>
      <c r="C87" s="175"/>
      <c r="D87" s="182" t="s">
        <v>96</v>
      </c>
      <c r="E87" s="176"/>
      <c r="F87" s="52" t="s">
        <v>97</v>
      </c>
    </row>
    <row r="88" spans="1:6">
      <c r="A88" s="52"/>
      <c r="B88" s="174"/>
      <c r="C88" s="175"/>
      <c r="D88" s="176"/>
      <c r="E88" s="176"/>
      <c r="F88" s="52"/>
    </row>
    <row r="105" spans="1:6">
      <c r="A105" s="53" t="s">
        <v>98</v>
      </c>
      <c r="B105" s="53"/>
      <c r="C105" s="53"/>
      <c r="D105" s="53"/>
      <c r="E105" s="53"/>
      <c r="F105" s="53"/>
    </row>
    <row r="106" spans="1:6" s="56" customFormat="1">
      <c r="A106" s="53" t="s">
        <v>99</v>
      </c>
      <c r="B106" s="53"/>
      <c r="C106" s="53"/>
      <c r="D106" s="54"/>
      <c r="E106" s="55"/>
      <c r="F106" s="55"/>
    </row>
    <row r="107" spans="1:6" s="56" customFormat="1">
      <c r="A107" s="53" t="s">
        <v>100</v>
      </c>
      <c r="B107" s="53"/>
      <c r="C107" s="53"/>
      <c r="D107" s="54"/>
      <c r="E107" s="55"/>
      <c r="F107" s="55"/>
    </row>
    <row r="108" spans="1:6" s="56" customFormat="1">
      <c r="A108" s="53" t="s">
        <v>101</v>
      </c>
      <c r="B108" s="53"/>
      <c r="C108" s="53"/>
      <c r="D108" s="55"/>
      <c r="E108" s="55"/>
      <c r="F108" s="55"/>
    </row>
    <row r="109" spans="1:6" s="56" customFormat="1">
      <c r="A109" s="53" t="s">
        <v>102</v>
      </c>
      <c r="B109" s="53"/>
      <c r="C109" s="53"/>
      <c r="D109" s="55"/>
      <c r="E109" s="55"/>
      <c r="F109" s="55"/>
    </row>
    <row r="110" spans="1:6" s="56" customFormat="1">
      <c r="A110" s="53" t="s">
        <v>103</v>
      </c>
      <c r="B110" s="53"/>
      <c r="C110" s="53"/>
      <c r="D110" s="55"/>
      <c r="E110" s="55"/>
      <c r="F110" s="55"/>
    </row>
    <row r="111" spans="1:6" s="56" customFormat="1">
      <c r="A111" s="53" t="s">
        <v>104</v>
      </c>
      <c r="B111" s="53"/>
      <c r="C111" s="53"/>
      <c r="D111" s="55"/>
      <c r="E111" s="55"/>
      <c r="F111" s="55"/>
    </row>
    <row r="112" spans="1:6" s="56" customFormat="1">
      <c r="A112" s="53" t="s">
        <v>105</v>
      </c>
      <c r="B112" s="53"/>
      <c r="C112" s="53"/>
      <c r="D112" s="55"/>
      <c r="E112" s="55"/>
      <c r="F112" s="55"/>
    </row>
    <row r="113" spans="1:6">
      <c r="A113" s="53" t="s">
        <v>106</v>
      </c>
      <c r="B113" s="53"/>
      <c r="C113" s="53"/>
      <c r="D113" s="53"/>
      <c r="E113" s="53"/>
      <c r="F113" s="53"/>
    </row>
    <row r="114" spans="1:6">
      <c r="A114" s="53" t="s">
        <v>10</v>
      </c>
      <c r="B114" s="53"/>
      <c r="C114" s="53"/>
      <c r="D114" s="53"/>
      <c r="E114" s="53"/>
      <c r="F114" s="53"/>
    </row>
    <row r="115" spans="1:6">
      <c r="A115" s="53"/>
      <c r="B115" s="53"/>
      <c r="C115" s="53"/>
      <c r="D115" s="53"/>
      <c r="E115" s="53"/>
      <c r="F115" s="53"/>
    </row>
    <row r="121" spans="1:6">
      <c r="B121" s="57"/>
    </row>
    <row r="123" spans="1:6" ht="15.75">
      <c r="A123" s="1"/>
      <c r="B123" s="1"/>
      <c r="C123" s="1"/>
      <c r="D123" s="1"/>
      <c r="E123" s="1"/>
      <c r="F123" s="1"/>
    </row>
    <row r="124" spans="1:6" ht="15.75">
      <c r="A124" s="1"/>
      <c r="B124" s="1"/>
      <c r="C124" s="1"/>
      <c r="D124" s="1"/>
      <c r="E124" s="1"/>
      <c r="F124" s="1"/>
    </row>
    <row r="125" spans="1:6" ht="15.75">
      <c r="A125" s="1"/>
      <c r="B125" s="1"/>
      <c r="C125" s="1"/>
      <c r="D125" s="1"/>
      <c r="E125" s="1"/>
      <c r="F125" s="1"/>
    </row>
    <row r="126" spans="1:6" ht="15.75">
      <c r="A126" s="1"/>
      <c r="B126" s="1"/>
      <c r="C126" s="1"/>
      <c r="D126" s="1"/>
      <c r="E126" s="1"/>
      <c r="F126" s="1"/>
    </row>
    <row r="127" spans="1:6" ht="15.75">
      <c r="A127" s="1"/>
      <c r="B127" s="1"/>
      <c r="C127" s="1"/>
      <c r="D127" s="1"/>
      <c r="E127" s="1"/>
      <c r="F127" s="1"/>
    </row>
    <row r="128" spans="1:6" ht="15.75">
      <c r="A128" s="1"/>
      <c r="B128" s="1"/>
      <c r="C128" s="1"/>
      <c r="D128" s="1"/>
      <c r="E128" s="1"/>
      <c r="F128" s="1"/>
    </row>
    <row r="129" spans="1:6" ht="15.75">
      <c r="A129" s="1"/>
      <c r="B129" s="1"/>
      <c r="C129" s="1"/>
      <c r="D129" s="1"/>
      <c r="E129" s="1"/>
      <c r="F129" s="1"/>
    </row>
    <row r="130" spans="1:6" ht="15.75">
      <c r="A130" s="1"/>
      <c r="B130" s="1"/>
      <c r="C130" s="1"/>
      <c r="D130" s="1"/>
      <c r="E130" s="1"/>
      <c r="F130" s="1"/>
    </row>
    <row r="131" spans="1:6" ht="15.75">
      <c r="A131" s="1"/>
      <c r="B131" s="1"/>
      <c r="C131" s="1"/>
      <c r="D131" s="1"/>
      <c r="E131" s="1"/>
      <c r="F131" s="1"/>
    </row>
    <row r="132" spans="1:6" ht="15.75">
      <c r="A132" s="1"/>
      <c r="B132" s="1"/>
      <c r="C132" s="1"/>
      <c r="D132" s="1"/>
      <c r="E132" s="1"/>
      <c r="F132" s="1"/>
    </row>
    <row r="133" spans="1:6" ht="15.75">
      <c r="A133" s="1"/>
      <c r="B133" s="1"/>
      <c r="C133" s="1"/>
      <c r="D133" s="1"/>
      <c r="E133" s="1"/>
      <c r="F133" s="1"/>
    </row>
    <row r="134" spans="1:6" ht="15.75">
      <c r="A134" s="1"/>
      <c r="B134" s="1"/>
      <c r="C134" s="1"/>
      <c r="D134" s="1"/>
      <c r="E134" s="1"/>
      <c r="F134" s="1"/>
    </row>
    <row r="135" spans="1:6" ht="15.75">
      <c r="A135" s="1"/>
      <c r="B135" s="1"/>
      <c r="C135" s="1"/>
      <c r="D135" s="1"/>
      <c r="E135" s="1"/>
      <c r="F135" s="1"/>
    </row>
    <row r="136" spans="1:6" ht="15.75">
      <c r="A136" s="1"/>
      <c r="B136" s="1"/>
      <c r="C136" s="1"/>
      <c r="D136" s="1"/>
      <c r="E136" s="1"/>
      <c r="F136" s="1"/>
    </row>
    <row r="137" spans="1:6" ht="15.75">
      <c r="A137" s="1"/>
      <c r="B137" s="1"/>
      <c r="C137" s="1"/>
      <c r="D137" s="1"/>
      <c r="E137" s="1"/>
      <c r="F137" s="1"/>
    </row>
    <row r="138" spans="1:6" ht="15.75">
      <c r="A138" s="1"/>
      <c r="B138" s="1"/>
      <c r="C138" s="1"/>
      <c r="D138" s="1"/>
      <c r="E138" s="1"/>
      <c r="F138" s="1"/>
    </row>
    <row r="139" spans="1:6" ht="15.75">
      <c r="A139" s="1"/>
      <c r="B139" s="1"/>
      <c r="C139" s="1"/>
      <c r="D139" s="1"/>
      <c r="E139" s="1"/>
      <c r="F139" s="1"/>
    </row>
    <row r="140" spans="1:6" ht="15.75">
      <c r="A140" s="1"/>
      <c r="B140" s="1"/>
      <c r="C140" s="1"/>
      <c r="D140" s="1"/>
      <c r="E140" s="1"/>
      <c r="F140" s="1"/>
    </row>
    <row r="141" spans="1:6" ht="15.75">
      <c r="A141" s="1"/>
      <c r="B141" s="1"/>
      <c r="C141" s="1"/>
      <c r="D141" s="1"/>
      <c r="E141" s="1"/>
      <c r="F141" s="1"/>
    </row>
    <row r="142" spans="1:6" ht="15.75">
      <c r="A142" s="1"/>
      <c r="B142" s="1"/>
      <c r="C142" s="1"/>
      <c r="D142" s="1"/>
      <c r="E142" s="1"/>
      <c r="F142" s="1"/>
    </row>
    <row r="143" spans="1:6" ht="15.75">
      <c r="A143" s="1"/>
      <c r="B143" s="1"/>
      <c r="C143" s="1"/>
      <c r="D143" s="1"/>
      <c r="E143" s="1"/>
      <c r="F143" s="1"/>
    </row>
    <row r="144" spans="1:6" ht="15.75">
      <c r="A144" s="1"/>
      <c r="B144" s="1"/>
      <c r="C144" s="1"/>
      <c r="D144" s="1"/>
      <c r="E144" s="1"/>
      <c r="F144" s="1"/>
    </row>
    <row r="145" spans="1:6" ht="15.75">
      <c r="A145" s="1"/>
      <c r="B145" s="1"/>
      <c r="C145" s="1"/>
      <c r="D145" s="1"/>
      <c r="E145" s="1"/>
      <c r="F145" s="1"/>
    </row>
    <row r="146" spans="1:6" ht="15.75">
      <c r="A146" s="1"/>
      <c r="B146" s="1"/>
      <c r="C146" s="1"/>
      <c r="D146" s="1"/>
      <c r="E146" s="1"/>
      <c r="F146" s="1"/>
    </row>
    <row r="147" spans="1:6" ht="15.75">
      <c r="A147" s="1"/>
      <c r="B147" s="1"/>
      <c r="C147" s="1"/>
      <c r="D147" s="1"/>
      <c r="E147" s="1"/>
      <c r="F147" s="1"/>
    </row>
    <row r="148" spans="1:6" ht="15.75">
      <c r="A148" s="1"/>
      <c r="B148" s="1"/>
      <c r="C148" s="1"/>
      <c r="D148" s="1"/>
      <c r="E148" s="1"/>
      <c r="F148" s="1"/>
    </row>
    <row r="149" spans="1:6" ht="15.75">
      <c r="A149" s="1"/>
      <c r="B149" s="1"/>
      <c r="C149" s="1"/>
      <c r="D149" s="1"/>
      <c r="E149" s="1"/>
      <c r="F149" s="1"/>
    </row>
    <row r="150" spans="1:6" ht="15.75">
      <c r="A150" s="1"/>
      <c r="B150" s="1"/>
      <c r="C150" s="1"/>
      <c r="D150" s="1"/>
      <c r="E150" s="1"/>
      <c r="F150" s="1"/>
    </row>
    <row r="151" spans="1:6" ht="15.75">
      <c r="A151" s="1"/>
      <c r="B151" s="1"/>
      <c r="C151" s="1"/>
      <c r="D151" s="1"/>
      <c r="E151" s="1"/>
      <c r="F151" s="1"/>
    </row>
    <row r="152" spans="1:6" ht="15.75">
      <c r="A152" s="1"/>
      <c r="B152" s="1"/>
      <c r="C152" s="1"/>
      <c r="D152" s="1"/>
      <c r="E152" s="1"/>
      <c r="F152" s="1"/>
    </row>
    <row r="153" spans="1:6" ht="15.75">
      <c r="A153" s="1"/>
      <c r="B153" s="1"/>
      <c r="C153" s="1"/>
      <c r="D153" s="1"/>
      <c r="E153" s="1"/>
      <c r="F153" s="1"/>
    </row>
    <row r="154" spans="1:6" ht="15.75">
      <c r="A154" s="1"/>
      <c r="B154" s="1"/>
      <c r="C154" s="1"/>
      <c r="D154" s="1"/>
      <c r="E154" s="1"/>
      <c r="F154" s="1"/>
    </row>
    <row r="155" spans="1:6" ht="15.75">
      <c r="A155" s="1"/>
      <c r="B155" s="1"/>
      <c r="C155" s="1"/>
      <c r="D155" s="1"/>
      <c r="E155" s="1"/>
      <c r="F155" s="1"/>
    </row>
    <row r="156" spans="1:6" ht="15.75">
      <c r="A156" s="1"/>
      <c r="B156" s="1"/>
      <c r="C156" s="1"/>
      <c r="D156" s="1"/>
      <c r="E156" s="1"/>
      <c r="F156" s="1"/>
    </row>
    <row r="157" spans="1:6" ht="15.75">
      <c r="A157" s="1"/>
      <c r="B157" s="1"/>
      <c r="C157" s="1"/>
      <c r="D157" s="1"/>
      <c r="E157" s="1"/>
      <c r="F157" s="1"/>
    </row>
    <row r="158" spans="1:6" ht="15.75">
      <c r="A158" s="1"/>
      <c r="B158" s="1"/>
      <c r="C158" s="1"/>
      <c r="D158" s="1"/>
      <c r="E158" s="1"/>
      <c r="F158" s="1"/>
    </row>
    <row r="159" spans="1:6" ht="15.75">
      <c r="A159" s="1"/>
      <c r="B159" s="1"/>
      <c r="C159" s="1"/>
      <c r="D159" s="1"/>
      <c r="E159" s="1"/>
      <c r="F159" s="1"/>
    </row>
    <row r="160" spans="1:6" ht="15.75">
      <c r="A160" s="1"/>
      <c r="B160" s="1"/>
      <c r="C160" s="1"/>
      <c r="D160" s="1"/>
      <c r="E160" s="1"/>
      <c r="F160" s="1"/>
    </row>
    <row r="161" spans="1:6" ht="15.75">
      <c r="A161" s="1"/>
      <c r="B161" s="1"/>
      <c r="C161" s="1"/>
      <c r="D161" s="1"/>
      <c r="E161" s="1"/>
      <c r="F161" s="1"/>
    </row>
    <row r="162" spans="1:6" ht="15.75">
      <c r="A162" s="1"/>
      <c r="B162" s="1"/>
      <c r="C162" s="1"/>
      <c r="D162" s="1"/>
      <c r="E162" s="1"/>
      <c r="F162" s="1"/>
    </row>
    <row r="163" spans="1:6" ht="15.75">
      <c r="A163" s="1"/>
      <c r="B163" s="1"/>
      <c r="C163" s="1"/>
      <c r="D163" s="1"/>
      <c r="E163" s="1"/>
      <c r="F163" s="1"/>
    </row>
    <row r="164" spans="1:6" ht="15.75">
      <c r="A164" s="1"/>
      <c r="B164" s="1"/>
      <c r="C164" s="1"/>
      <c r="D164" s="1"/>
      <c r="E164" s="1"/>
      <c r="F164" s="1"/>
    </row>
    <row r="165" spans="1:6" ht="15.75">
      <c r="A165" s="1"/>
      <c r="B165" s="1"/>
      <c r="C165" s="1"/>
      <c r="D165" s="1"/>
      <c r="E165" s="1"/>
      <c r="F165" s="1"/>
    </row>
    <row r="166" spans="1:6" ht="15.75">
      <c r="A166" s="1"/>
      <c r="B166" s="1"/>
      <c r="C166" s="1"/>
      <c r="D166" s="1"/>
      <c r="E166" s="1"/>
      <c r="F166" s="1"/>
    </row>
    <row r="167" spans="1:6" ht="15.75">
      <c r="A167" s="1"/>
      <c r="B167" s="1"/>
      <c r="C167" s="1"/>
      <c r="D167" s="1"/>
      <c r="E167" s="1"/>
      <c r="F167" s="1"/>
    </row>
    <row r="168" spans="1:6" ht="15.75">
      <c r="A168" s="1"/>
      <c r="B168" s="1"/>
      <c r="C168" s="1"/>
      <c r="D168" s="1"/>
      <c r="E168" s="1"/>
      <c r="F168" s="1"/>
    </row>
    <row r="169" spans="1:6" ht="15.75">
      <c r="A169" s="1"/>
      <c r="B169" s="1"/>
      <c r="C169" s="1"/>
      <c r="D169" s="1"/>
      <c r="E169" s="1"/>
      <c r="F169" s="1"/>
    </row>
    <row r="170" spans="1:6" ht="15.75">
      <c r="A170" s="1"/>
      <c r="B170" s="1"/>
      <c r="C170" s="1"/>
      <c r="D170" s="1"/>
      <c r="E170" s="1"/>
      <c r="F170" s="1"/>
    </row>
    <row r="171" spans="1:6" ht="15.75">
      <c r="A171" s="1"/>
      <c r="B171" s="1"/>
      <c r="C171" s="1"/>
      <c r="D171" s="1"/>
      <c r="E171" s="1"/>
      <c r="F171" s="1"/>
    </row>
    <row r="172" spans="1:6" ht="15.75">
      <c r="A172" s="1"/>
      <c r="B172" s="1"/>
      <c r="C172" s="1"/>
      <c r="D172" s="1"/>
      <c r="E172" s="1"/>
      <c r="F172" s="1"/>
    </row>
    <row r="173" spans="1:6" ht="15.75">
      <c r="A173" s="1"/>
      <c r="B173" s="1"/>
      <c r="C173" s="1"/>
      <c r="D173" s="1"/>
      <c r="E173" s="1"/>
      <c r="F173" s="1"/>
    </row>
    <row r="174" spans="1:6" ht="15.75">
      <c r="A174" s="1"/>
      <c r="B174" s="1"/>
      <c r="C174" s="1"/>
      <c r="D174" s="1"/>
      <c r="E174" s="1"/>
      <c r="F174" s="1"/>
    </row>
    <row r="175" spans="1:6" ht="15.75">
      <c r="A175" s="1"/>
      <c r="B175" s="1"/>
      <c r="C175" s="1"/>
      <c r="D175" s="1"/>
      <c r="E175" s="1"/>
      <c r="F175" s="1"/>
    </row>
    <row r="176" spans="1:6" ht="15.75">
      <c r="A176" s="1"/>
      <c r="B176" s="1"/>
      <c r="C176" s="1"/>
      <c r="D176" s="1"/>
      <c r="E176" s="1"/>
      <c r="F176" s="1"/>
    </row>
    <row r="177" spans="1:6" ht="15.75">
      <c r="A177" s="1"/>
      <c r="B177" s="1"/>
      <c r="C177" s="1"/>
      <c r="D177" s="1"/>
      <c r="E177" s="1"/>
      <c r="F177" s="1"/>
    </row>
    <row r="178" spans="1:6" ht="15.75">
      <c r="A178" s="1"/>
      <c r="B178" s="1"/>
      <c r="C178" s="1"/>
      <c r="D178" s="1"/>
      <c r="E178" s="1"/>
      <c r="F178" s="1"/>
    </row>
    <row r="179" spans="1:6" ht="15.75">
      <c r="A179" s="1"/>
      <c r="B179" s="1"/>
      <c r="C179" s="1"/>
      <c r="D179" s="1"/>
      <c r="E179" s="1"/>
      <c r="F179" s="1"/>
    </row>
    <row r="180" spans="1:6" ht="15.75">
      <c r="A180" s="1"/>
      <c r="B180" s="1"/>
      <c r="C180" s="1"/>
      <c r="D180" s="1"/>
      <c r="E180" s="1"/>
      <c r="F180" s="1"/>
    </row>
    <row r="181" spans="1:6" ht="15.75">
      <c r="A181" s="1"/>
      <c r="B181" s="1"/>
      <c r="C181" s="1"/>
      <c r="D181" s="1"/>
      <c r="E181" s="1"/>
      <c r="F181" s="1"/>
    </row>
    <row r="182" spans="1:6" ht="15.75">
      <c r="A182" s="1"/>
      <c r="B182" s="1"/>
      <c r="C182" s="1"/>
      <c r="D182" s="1"/>
      <c r="E182" s="1"/>
      <c r="F182" s="1"/>
    </row>
    <row r="183" spans="1:6" ht="15.75">
      <c r="A183" s="1"/>
      <c r="B183" s="1"/>
      <c r="C183" s="1"/>
      <c r="D183" s="1"/>
      <c r="E183" s="1"/>
      <c r="F183" s="1"/>
    </row>
    <row r="184" spans="1:6" ht="15.75">
      <c r="A184" s="1"/>
      <c r="B184" s="1"/>
      <c r="C184" s="1"/>
      <c r="D184" s="1"/>
      <c r="E184" s="1"/>
      <c r="F184" s="1"/>
    </row>
    <row r="185" spans="1:6" ht="15.75">
      <c r="A185" s="1"/>
      <c r="B185" s="1"/>
      <c r="C185" s="1"/>
      <c r="D185" s="1"/>
      <c r="E185" s="1"/>
      <c r="F185" s="1"/>
    </row>
    <row r="186" spans="1:6" ht="15.75">
      <c r="A186" s="1"/>
      <c r="B186" s="1"/>
      <c r="C186" s="1"/>
      <c r="D186" s="1"/>
      <c r="E186" s="1"/>
      <c r="F186" s="1"/>
    </row>
    <row r="187" spans="1:6" ht="15.75">
      <c r="A187" s="1"/>
      <c r="B187" s="1"/>
      <c r="C187" s="1"/>
      <c r="D187" s="1"/>
      <c r="E187" s="1"/>
      <c r="F187" s="1"/>
    </row>
    <row r="188" spans="1:6" ht="15.75">
      <c r="A188" s="1"/>
      <c r="B188" s="1"/>
      <c r="C188" s="1"/>
      <c r="D188" s="1"/>
      <c r="E188" s="1"/>
      <c r="F188" s="1"/>
    </row>
    <row r="189" spans="1:6" ht="15.75">
      <c r="A189" s="1"/>
      <c r="B189" s="1"/>
      <c r="C189" s="1"/>
      <c r="D189" s="1"/>
      <c r="E189" s="1"/>
      <c r="F189" s="1"/>
    </row>
    <row r="190" spans="1:6" ht="15.75">
      <c r="A190" s="1"/>
      <c r="B190" s="1"/>
      <c r="C190" s="1"/>
      <c r="D190" s="1"/>
      <c r="E190" s="1"/>
      <c r="F190" s="1"/>
    </row>
    <row r="191" spans="1:6" ht="15.75">
      <c r="A191" s="1"/>
      <c r="B191" s="1"/>
      <c r="C191" s="1"/>
      <c r="D191" s="1"/>
      <c r="E191" s="1"/>
      <c r="F191" s="1"/>
    </row>
    <row r="192" spans="1:6" ht="15.75">
      <c r="A192" s="1"/>
      <c r="B192" s="1"/>
      <c r="C192" s="1"/>
      <c r="D192" s="1"/>
      <c r="E192" s="1"/>
      <c r="F192" s="1"/>
    </row>
    <row r="193" spans="1:6" ht="15.75">
      <c r="A193" s="1"/>
      <c r="B193" s="1"/>
      <c r="C193" s="1"/>
      <c r="D193" s="1"/>
      <c r="E193" s="1"/>
      <c r="F193" s="1"/>
    </row>
    <row r="194" spans="1:6" ht="15.75">
      <c r="A194" s="1"/>
      <c r="B194" s="1"/>
      <c r="C194" s="1"/>
      <c r="D194" s="1"/>
      <c r="E194" s="1"/>
      <c r="F194" s="1"/>
    </row>
    <row r="195" spans="1:6" ht="15.75">
      <c r="A195" s="1"/>
      <c r="B195" s="1"/>
      <c r="C195" s="1"/>
      <c r="D195" s="1"/>
      <c r="E195" s="1"/>
      <c r="F195" s="1"/>
    </row>
    <row r="196" spans="1:6" ht="15.75">
      <c r="A196" s="1"/>
      <c r="B196" s="1"/>
      <c r="C196" s="1"/>
      <c r="D196" s="1"/>
      <c r="E196" s="1"/>
      <c r="F196" s="1"/>
    </row>
    <row r="197" spans="1:6" ht="15.75">
      <c r="A197" s="1"/>
      <c r="B197" s="1"/>
      <c r="C197" s="1"/>
      <c r="D197" s="1"/>
      <c r="E197" s="1"/>
      <c r="F197" s="1"/>
    </row>
    <row r="198" spans="1:6" ht="15.75">
      <c r="A198" s="1"/>
      <c r="B198" s="1"/>
      <c r="C198" s="1"/>
      <c r="D198" s="1"/>
      <c r="E198" s="1"/>
      <c r="F198" s="1"/>
    </row>
    <row r="199" spans="1:6" ht="15.75">
      <c r="A199" s="1"/>
      <c r="B199" s="1"/>
      <c r="C199" s="1"/>
      <c r="D199" s="1"/>
      <c r="E199" s="1"/>
      <c r="F199" s="1"/>
    </row>
    <row r="200" spans="1:6" ht="15.75">
      <c r="A200" s="1"/>
      <c r="B200" s="1"/>
      <c r="C200" s="1"/>
      <c r="D200" s="1"/>
      <c r="E200" s="1"/>
      <c r="F200" s="1"/>
    </row>
    <row r="201" spans="1:6" ht="15.75">
      <c r="A201" s="1"/>
      <c r="B201" s="1"/>
      <c r="C201" s="1"/>
      <c r="D201" s="1"/>
      <c r="E201" s="1"/>
      <c r="F201" s="1"/>
    </row>
    <row r="202" spans="1:6" ht="15.75">
      <c r="A202" s="1"/>
      <c r="B202" s="1"/>
      <c r="C202" s="1"/>
      <c r="D202" s="1"/>
      <c r="E202" s="1"/>
      <c r="F202" s="1"/>
    </row>
    <row r="203" spans="1:6" ht="15.75">
      <c r="A203" s="1"/>
      <c r="B203" s="1"/>
      <c r="C203" s="1"/>
      <c r="D203" s="1"/>
      <c r="E203" s="1"/>
      <c r="F203" s="1"/>
    </row>
    <row r="204" spans="1:6" ht="15.75">
      <c r="A204" s="1"/>
      <c r="B204" s="1"/>
      <c r="C204" s="1"/>
      <c r="D204" s="1"/>
      <c r="E204" s="1"/>
      <c r="F204" s="1"/>
    </row>
    <row r="205" spans="1:6" ht="15.75">
      <c r="A205" s="1"/>
      <c r="B205" s="1"/>
      <c r="C205" s="1"/>
      <c r="D205" s="1"/>
      <c r="E205" s="1"/>
      <c r="F205" s="1"/>
    </row>
    <row r="206" spans="1:6" ht="15.75">
      <c r="A206" s="1"/>
      <c r="B206" s="1"/>
      <c r="C206" s="1"/>
      <c r="D206" s="1"/>
      <c r="E206" s="1"/>
      <c r="F206" s="1"/>
    </row>
    <row r="207" spans="1:6" ht="15.75">
      <c r="A207" s="1"/>
      <c r="B207" s="1"/>
      <c r="C207" s="1"/>
      <c r="D207" s="1"/>
      <c r="E207" s="1"/>
      <c r="F207" s="1"/>
    </row>
    <row r="208" spans="1:6" ht="15.75">
      <c r="A208" s="1"/>
      <c r="B208" s="1"/>
      <c r="C208" s="1"/>
      <c r="D208" s="1"/>
      <c r="E208" s="1"/>
      <c r="F208" s="1"/>
    </row>
    <row r="209" spans="1:6" ht="15.75">
      <c r="A209" s="1"/>
      <c r="B209" s="1"/>
      <c r="C209" s="1"/>
      <c r="D209" s="1"/>
      <c r="E209" s="1"/>
      <c r="F209" s="1"/>
    </row>
    <row r="210" spans="1:6" ht="15.75">
      <c r="A210" s="1"/>
      <c r="B210" s="1"/>
      <c r="C210" s="1"/>
      <c r="D210" s="1"/>
      <c r="E210" s="1"/>
      <c r="F210" s="1"/>
    </row>
    <row r="211" spans="1:6" ht="15.75">
      <c r="A211" s="1"/>
      <c r="B211" s="1"/>
      <c r="C211" s="1"/>
      <c r="D211" s="1"/>
      <c r="E211" s="1"/>
      <c r="F211" s="1"/>
    </row>
    <row r="212" spans="1:6" ht="15.75">
      <c r="A212" s="1"/>
      <c r="B212" s="1"/>
      <c r="C212" s="1"/>
      <c r="D212" s="1"/>
      <c r="E212" s="1"/>
      <c r="F212" s="1"/>
    </row>
    <row r="213" spans="1:6" ht="15.75">
      <c r="A213" s="1"/>
      <c r="B213" s="1"/>
      <c r="C213" s="1"/>
      <c r="D213" s="1"/>
      <c r="E213" s="1"/>
      <c r="F213" s="1"/>
    </row>
    <row r="214" spans="1:6" ht="15.75">
      <c r="A214" s="1"/>
      <c r="B214" s="1"/>
      <c r="C214" s="1"/>
      <c r="D214" s="1"/>
      <c r="E214" s="1"/>
      <c r="F214" s="1"/>
    </row>
    <row r="215" spans="1:6" ht="15.75">
      <c r="A215" s="1"/>
      <c r="B215" s="1"/>
      <c r="C215" s="1"/>
      <c r="D215" s="1"/>
      <c r="E215" s="1"/>
      <c r="F215" s="1"/>
    </row>
    <row r="216" spans="1:6" ht="15.75">
      <c r="A216" s="1"/>
      <c r="B216" s="1"/>
      <c r="C216" s="1"/>
      <c r="D216" s="1"/>
      <c r="E216" s="1"/>
      <c r="F216" s="1"/>
    </row>
    <row r="217" spans="1:6" ht="15.75">
      <c r="A217" s="1"/>
      <c r="B217" s="1"/>
      <c r="C217" s="1"/>
      <c r="D217" s="1"/>
      <c r="E217" s="1"/>
      <c r="F217" s="1"/>
    </row>
    <row r="218" spans="1:6" ht="15.75">
      <c r="A218" s="1"/>
      <c r="B218" s="1"/>
      <c r="C218" s="1"/>
      <c r="D218" s="1"/>
      <c r="E218" s="1"/>
      <c r="F218" s="1"/>
    </row>
    <row r="219" spans="1:6" ht="15.75">
      <c r="A219" s="1"/>
      <c r="B219" s="1"/>
      <c r="C219" s="1"/>
      <c r="D219" s="1"/>
      <c r="E219" s="1"/>
      <c r="F219" s="1"/>
    </row>
    <row r="220" spans="1:6" ht="15.75">
      <c r="A220" s="1"/>
      <c r="B220" s="1"/>
      <c r="C220" s="1"/>
      <c r="D220" s="1"/>
      <c r="E220" s="1"/>
      <c r="F220" s="1"/>
    </row>
    <row r="221" spans="1:6" ht="15.75">
      <c r="A221" s="1"/>
      <c r="B221" s="1"/>
      <c r="C221" s="1"/>
      <c r="D221" s="1"/>
      <c r="E221" s="1"/>
      <c r="F221" s="1"/>
    </row>
    <row r="222" spans="1:6" ht="15.75">
      <c r="A222" s="1"/>
      <c r="B222" s="1"/>
      <c r="C222" s="1"/>
      <c r="D222" s="1"/>
      <c r="E222" s="1"/>
      <c r="F222" s="1"/>
    </row>
    <row r="223" spans="1:6" ht="15.75">
      <c r="A223" s="1"/>
      <c r="B223" s="1"/>
      <c r="C223" s="1"/>
      <c r="D223" s="1"/>
      <c r="E223" s="1"/>
      <c r="F223" s="1"/>
    </row>
    <row r="224" spans="1:6" ht="15.75">
      <c r="A224" s="1"/>
      <c r="B224" s="1"/>
      <c r="C224" s="1"/>
      <c r="D224" s="1"/>
      <c r="E224" s="1"/>
      <c r="F224" s="1"/>
    </row>
    <row r="225" spans="1:6" ht="15.75">
      <c r="A225" s="1"/>
      <c r="B225" s="1"/>
      <c r="C225" s="1"/>
      <c r="D225" s="1"/>
      <c r="E225" s="1"/>
      <c r="F225" s="1"/>
    </row>
    <row r="226" spans="1:6" ht="15.75">
      <c r="A226" s="1"/>
      <c r="B226" s="1"/>
      <c r="C226" s="1"/>
      <c r="D226" s="1"/>
      <c r="E226" s="1"/>
      <c r="F226" s="1"/>
    </row>
    <row r="227" spans="1:6" ht="15.75">
      <c r="A227" s="1"/>
      <c r="B227" s="1"/>
      <c r="C227" s="1"/>
      <c r="D227" s="1"/>
      <c r="E227" s="1"/>
      <c r="F227" s="1"/>
    </row>
    <row r="228" spans="1:6" ht="15.75">
      <c r="A228" s="1"/>
      <c r="B228" s="1"/>
      <c r="C228" s="1"/>
      <c r="D228" s="1"/>
      <c r="E228" s="1"/>
      <c r="F228" s="1"/>
    </row>
    <row r="229" spans="1:6" ht="15.75">
      <c r="A229" s="1"/>
      <c r="B229" s="1"/>
      <c r="C229" s="1"/>
      <c r="D229" s="1"/>
      <c r="E229" s="1"/>
      <c r="F229" s="1"/>
    </row>
    <row r="230" spans="1:6" ht="15.75">
      <c r="A230" s="1"/>
      <c r="B230" s="1"/>
      <c r="C230" s="1"/>
      <c r="D230" s="1"/>
      <c r="E230" s="1"/>
      <c r="F230" s="1"/>
    </row>
    <row r="231" spans="1:6" ht="15.75">
      <c r="A231" s="1"/>
      <c r="B231" s="1"/>
      <c r="C231" s="1"/>
      <c r="D231" s="1"/>
      <c r="E231" s="1"/>
      <c r="F231" s="1"/>
    </row>
    <row r="232" spans="1:6" ht="15.75">
      <c r="A232" s="1"/>
      <c r="B232" s="1"/>
      <c r="C232" s="1"/>
      <c r="D232" s="1"/>
      <c r="E232" s="1"/>
      <c r="F232" s="1"/>
    </row>
    <row r="233" spans="1:6" ht="15.75">
      <c r="A233" s="1"/>
      <c r="B233" s="1"/>
      <c r="C233" s="1"/>
      <c r="D233" s="1"/>
      <c r="E233" s="1"/>
      <c r="F233" s="1"/>
    </row>
    <row r="234" spans="1:6" ht="15.75">
      <c r="A234" s="1"/>
      <c r="B234" s="1"/>
      <c r="C234" s="1"/>
      <c r="D234" s="1"/>
      <c r="E234" s="1"/>
      <c r="F234" s="1"/>
    </row>
    <row r="235" spans="1:6" ht="15.75">
      <c r="A235" s="1"/>
      <c r="B235" s="1"/>
      <c r="C235" s="1"/>
      <c r="D235" s="1"/>
      <c r="E235" s="1"/>
      <c r="F235" s="1"/>
    </row>
    <row r="236" spans="1:6" ht="15.75">
      <c r="A236" s="1"/>
      <c r="B236" s="1"/>
      <c r="C236" s="1"/>
      <c r="D236" s="1"/>
      <c r="E236" s="1"/>
      <c r="F236" s="1"/>
    </row>
    <row r="237" spans="1:6" ht="15.75">
      <c r="A237" s="1"/>
      <c r="B237" s="1"/>
      <c r="C237" s="1"/>
      <c r="D237" s="1"/>
      <c r="E237" s="1"/>
      <c r="F237" s="1"/>
    </row>
    <row r="238" spans="1:6" ht="15.75">
      <c r="A238" s="1"/>
      <c r="B238" s="1"/>
      <c r="C238" s="1"/>
      <c r="D238" s="1"/>
      <c r="E238" s="1"/>
      <c r="F238" s="1"/>
    </row>
    <row r="239" spans="1:6" ht="15.75">
      <c r="A239" s="1"/>
      <c r="B239" s="1"/>
      <c r="C239" s="1"/>
      <c r="D239" s="1"/>
      <c r="E239" s="1"/>
      <c r="F239" s="1"/>
    </row>
    <row r="240" spans="1:6" ht="15.75">
      <c r="A240" s="1"/>
      <c r="B240" s="1"/>
      <c r="C240" s="1"/>
      <c r="D240" s="1"/>
      <c r="E240" s="1"/>
      <c r="F240" s="1"/>
    </row>
    <row r="241" spans="1:6" ht="15.75">
      <c r="A241" s="1"/>
      <c r="B241" s="1"/>
      <c r="C241" s="1"/>
      <c r="D241" s="1"/>
      <c r="E241" s="1"/>
      <c r="F241" s="1"/>
    </row>
    <row r="242" spans="1:6" ht="15.75">
      <c r="A242" s="1"/>
      <c r="B242" s="1"/>
      <c r="C242" s="1"/>
      <c r="D242" s="1"/>
      <c r="E242" s="1"/>
      <c r="F242" s="1"/>
    </row>
    <row r="243" spans="1:6" ht="15.75">
      <c r="A243" s="1"/>
      <c r="B243" s="1"/>
      <c r="C243" s="1"/>
      <c r="D243" s="1"/>
      <c r="E243" s="1"/>
      <c r="F243" s="1"/>
    </row>
    <row r="244" spans="1:6" ht="15.75">
      <c r="A244" s="1"/>
      <c r="B244" s="1"/>
      <c r="C244" s="1"/>
      <c r="D244" s="1"/>
      <c r="E244" s="1"/>
      <c r="F244" s="1"/>
    </row>
    <row r="245" spans="1:6" ht="15.75">
      <c r="A245" s="1"/>
      <c r="B245" s="1"/>
      <c r="C245" s="1"/>
      <c r="D245" s="1"/>
      <c r="E245" s="1"/>
      <c r="F245" s="1"/>
    </row>
    <row r="246" spans="1:6" ht="15.75">
      <c r="A246" s="1"/>
      <c r="B246" s="1"/>
      <c r="C246" s="1"/>
      <c r="D246" s="1"/>
      <c r="E246" s="1"/>
      <c r="F246" s="1"/>
    </row>
    <row r="247" spans="1:6" ht="15.75">
      <c r="A247" s="1"/>
      <c r="B247" s="1"/>
      <c r="C247" s="1"/>
      <c r="D247" s="1"/>
      <c r="E247" s="1"/>
      <c r="F247" s="1"/>
    </row>
    <row r="248" spans="1:6" ht="15.75">
      <c r="A248" s="1"/>
      <c r="B248" s="1"/>
      <c r="C248" s="1"/>
      <c r="D248" s="1"/>
      <c r="E248" s="1"/>
      <c r="F248" s="1"/>
    </row>
    <row r="249" spans="1:6" ht="15.75">
      <c r="A249" s="1"/>
      <c r="B249" s="1"/>
      <c r="C249" s="1"/>
      <c r="D249" s="1"/>
      <c r="E249" s="1"/>
      <c r="F249" s="1"/>
    </row>
    <row r="250" spans="1:6" ht="15.75">
      <c r="A250" s="1"/>
      <c r="B250" s="1"/>
      <c r="C250" s="1"/>
      <c r="D250" s="1"/>
      <c r="E250" s="1"/>
      <c r="F250" s="1"/>
    </row>
    <row r="251" spans="1:6" ht="15.75">
      <c r="A251" s="1"/>
      <c r="B251" s="1"/>
      <c r="C251" s="1"/>
      <c r="D251" s="1"/>
      <c r="E251" s="1"/>
      <c r="F251" s="1"/>
    </row>
    <row r="252" spans="1:6" ht="15.75">
      <c r="A252" s="1"/>
      <c r="B252" s="1"/>
      <c r="C252" s="1"/>
      <c r="D252" s="1"/>
      <c r="E252" s="1"/>
      <c r="F252" s="1"/>
    </row>
    <row r="253" spans="1:6" ht="15.75">
      <c r="A253" s="1"/>
      <c r="B253" s="1"/>
      <c r="C253" s="1"/>
      <c r="D253" s="1"/>
      <c r="E253" s="1"/>
      <c r="F253" s="1"/>
    </row>
    <row r="254" spans="1:6" ht="15.75">
      <c r="A254" s="1"/>
      <c r="B254" s="1"/>
      <c r="C254" s="1"/>
      <c r="D254" s="1"/>
      <c r="E254" s="1"/>
      <c r="F254" s="1"/>
    </row>
    <row r="255" spans="1:6" ht="15.75">
      <c r="A255" s="1"/>
      <c r="B255" s="1"/>
      <c r="C255" s="1"/>
      <c r="D255" s="1"/>
      <c r="E255" s="1"/>
      <c r="F255" s="1"/>
    </row>
    <row r="256" spans="1:6" ht="15.75">
      <c r="A256" s="1"/>
      <c r="B256" s="1"/>
      <c r="C256" s="1"/>
      <c r="D256" s="1"/>
      <c r="E256" s="1"/>
      <c r="F256" s="1"/>
    </row>
    <row r="257" spans="1:6" ht="15.75">
      <c r="A257" s="1"/>
      <c r="B257" s="1"/>
      <c r="C257" s="1"/>
      <c r="D257" s="1"/>
      <c r="E257" s="1"/>
      <c r="F257" s="1"/>
    </row>
    <row r="258" spans="1:6" ht="15.75">
      <c r="A258" s="1"/>
      <c r="B258" s="1"/>
      <c r="C258" s="1"/>
      <c r="D258" s="1"/>
      <c r="E258" s="1"/>
      <c r="F258" s="1"/>
    </row>
    <row r="259" spans="1:6" ht="15.75">
      <c r="A259" s="1"/>
      <c r="B259" s="1"/>
      <c r="C259" s="1"/>
      <c r="D259" s="1"/>
      <c r="E259" s="1"/>
      <c r="F259" s="1"/>
    </row>
    <row r="260" spans="1:6" ht="15.75">
      <c r="A260" s="1"/>
      <c r="B260" s="1"/>
      <c r="C260" s="1"/>
      <c r="D260" s="1"/>
      <c r="E260" s="1"/>
      <c r="F260" s="1"/>
    </row>
    <row r="261" spans="1:6" ht="15.75">
      <c r="A261" s="1"/>
      <c r="B261" s="1"/>
      <c r="C261" s="1"/>
      <c r="D261" s="1"/>
      <c r="E261" s="1"/>
      <c r="F261" s="1"/>
    </row>
    <row r="262" spans="1:6" ht="15.75">
      <c r="A262" s="1"/>
      <c r="B262" s="1"/>
      <c r="C262" s="1"/>
      <c r="D262" s="1"/>
      <c r="E262" s="1"/>
      <c r="F262" s="1"/>
    </row>
    <row r="263" spans="1:6" ht="15.75">
      <c r="A263" s="1"/>
      <c r="B263" s="1"/>
      <c r="C263" s="1"/>
      <c r="D263" s="1"/>
      <c r="E263" s="1"/>
      <c r="F263" s="1"/>
    </row>
    <row r="264" spans="1:6" ht="15.75">
      <c r="A264" s="1"/>
      <c r="B264" s="1"/>
      <c r="C264" s="1"/>
      <c r="D264" s="1"/>
      <c r="E264" s="1"/>
      <c r="F264" s="1"/>
    </row>
    <row r="265" spans="1:6" ht="15.75">
      <c r="A265" s="1"/>
      <c r="B265" s="1"/>
      <c r="C265" s="1"/>
      <c r="D265" s="1"/>
      <c r="E265" s="1"/>
      <c r="F265" s="1"/>
    </row>
    <row r="266" spans="1:6" ht="15.75">
      <c r="A266" s="1"/>
      <c r="B266" s="1"/>
      <c r="C266" s="1"/>
      <c r="D266" s="1"/>
      <c r="E266" s="1"/>
      <c r="F266" s="1"/>
    </row>
    <row r="267" spans="1:6" ht="15.75">
      <c r="A267" s="1"/>
      <c r="B267" s="1"/>
      <c r="C267" s="1"/>
      <c r="D267" s="1"/>
      <c r="E267" s="1"/>
      <c r="F267" s="1"/>
    </row>
    <row r="268" spans="1:6" ht="15.75">
      <c r="A268" s="1"/>
      <c r="B268" s="1"/>
      <c r="C268" s="1"/>
      <c r="D268" s="1"/>
      <c r="E268" s="1"/>
      <c r="F268" s="1"/>
    </row>
    <row r="269" spans="1:6" ht="15.75">
      <c r="A269" s="1"/>
      <c r="B269" s="1"/>
      <c r="C269" s="1"/>
      <c r="D269" s="1"/>
      <c r="E269" s="1"/>
      <c r="F269" s="1"/>
    </row>
    <row r="270" spans="1:6" ht="15.75">
      <c r="A270" s="1"/>
      <c r="B270" s="1"/>
      <c r="C270" s="1"/>
      <c r="D270" s="1"/>
      <c r="E270" s="1"/>
      <c r="F270" s="1"/>
    </row>
    <row r="271" spans="1:6" ht="15.75">
      <c r="A271" s="1"/>
      <c r="B271" s="1"/>
      <c r="C271" s="1"/>
      <c r="D271" s="1"/>
      <c r="E271" s="1"/>
      <c r="F271" s="1"/>
    </row>
    <row r="272" spans="1:6" ht="15.75">
      <c r="A272" s="1"/>
      <c r="B272" s="1"/>
      <c r="C272" s="1"/>
      <c r="D272" s="1"/>
      <c r="E272" s="1"/>
      <c r="F272" s="1"/>
    </row>
    <row r="273" spans="1:6" ht="15.75">
      <c r="A273" s="1"/>
      <c r="B273" s="1"/>
      <c r="C273" s="1"/>
      <c r="D273" s="1"/>
      <c r="E273" s="1"/>
      <c r="F273" s="1"/>
    </row>
    <row r="274" spans="1:6" ht="15.75">
      <c r="A274" s="1"/>
      <c r="B274" s="1"/>
      <c r="C274" s="1"/>
      <c r="D274" s="1"/>
      <c r="E274" s="1"/>
      <c r="F274" s="1"/>
    </row>
    <row r="275" spans="1:6" ht="15.75">
      <c r="A275" s="1"/>
      <c r="B275" s="1"/>
      <c r="C275" s="1"/>
      <c r="D275" s="1"/>
      <c r="E275" s="1"/>
      <c r="F275" s="1"/>
    </row>
    <row r="276" spans="1:6" ht="15.75">
      <c r="A276" s="1"/>
      <c r="B276" s="1"/>
      <c r="C276" s="1"/>
      <c r="D276" s="1"/>
      <c r="E276" s="1"/>
      <c r="F276" s="1"/>
    </row>
    <row r="277" spans="1:6" ht="15.75">
      <c r="A277" s="1"/>
      <c r="B277" s="1"/>
      <c r="C277" s="1"/>
      <c r="D277" s="1"/>
      <c r="E277" s="1"/>
      <c r="F277" s="1"/>
    </row>
    <row r="278" spans="1:6" ht="15.75">
      <c r="A278" s="1"/>
      <c r="B278" s="1"/>
      <c r="C278" s="1"/>
      <c r="D278" s="1"/>
      <c r="E278" s="1"/>
      <c r="F278" s="1"/>
    </row>
    <row r="279" spans="1:6" ht="15.75">
      <c r="A279" s="1"/>
      <c r="B279" s="1"/>
      <c r="C279" s="1"/>
      <c r="D279" s="1"/>
      <c r="E279" s="1"/>
      <c r="F279" s="1"/>
    </row>
    <row r="280" spans="1:6" ht="15.75">
      <c r="A280" s="1"/>
      <c r="B280" s="1"/>
      <c r="C280" s="1"/>
      <c r="D280" s="1"/>
      <c r="E280" s="1"/>
      <c r="F280" s="1"/>
    </row>
    <row r="281" spans="1:6" ht="15.75">
      <c r="A281" s="1"/>
      <c r="B281" s="1"/>
      <c r="C281" s="1"/>
      <c r="D281" s="1"/>
      <c r="E281" s="1"/>
      <c r="F281" s="1"/>
    </row>
    <row r="282" spans="1:6" ht="15.75">
      <c r="A282" s="1"/>
      <c r="B282" s="1"/>
      <c r="C282" s="1"/>
      <c r="D282" s="1"/>
      <c r="E282" s="1"/>
      <c r="F282" s="1"/>
    </row>
    <row r="283" spans="1:6" ht="15.75">
      <c r="A283" s="1"/>
      <c r="B283" s="1"/>
      <c r="C283" s="1"/>
      <c r="D283" s="1"/>
      <c r="E283" s="1"/>
      <c r="F283" s="1"/>
    </row>
    <row r="284" spans="1:6" ht="15.75">
      <c r="A284" s="1"/>
      <c r="B284" s="1"/>
      <c r="C284" s="1"/>
      <c r="D284" s="1"/>
      <c r="E284" s="1"/>
      <c r="F284" s="1"/>
    </row>
    <row r="285" spans="1:6" ht="15.75">
      <c r="A285" s="1"/>
      <c r="B285" s="1"/>
      <c r="C285" s="1"/>
      <c r="D285" s="1"/>
      <c r="E285" s="1"/>
      <c r="F285" s="1"/>
    </row>
    <row r="286" spans="1:6" ht="15.75">
      <c r="A286" s="1"/>
      <c r="B286" s="1"/>
      <c r="C286" s="1"/>
      <c r="D286" s="1"/>
      <c r="E286" s="1"/>
      <c r="F286" s="1"/>
    </row>
    <row r="287" spans="1:6" ht="15.75">
      <c r="A287" s="1"/>
      <c r="B287" s="1"/>
      <c r="C287" s="1"/>
      <c r="D287" s="1"/>
      <c r="E287" s="1"/>
      <c r="F287" s="1"/>
    </row>
    <row r="288" spans="1:6" ht="15.75">
      <c r="A288" s="1"/>
      <c r="B288" s="1"/>
      <c r="C288" s="1"/>
      <c r="D288" s="1"/>
      <c r="E288" s="1"/>
      <c r="F288" s="1"/>
    </row>
    <row r="289" spans="1:6" ht="15.75">
      <c r="A289" s="1"/>
      <c r="B289" s="1"/>
      <c r="C289" s="1"/>
      <c r="D289" s="1"/>
      <c r="E289" s="1"/>
      <c r="F289" s="1"/>
    </row>
    <row r="290" spans="1:6" ht="15.75">
      <c r="A290" s="1"/>
      <c r="B290" s="1"/>
      <c r="C290" s="1"/>
      <c r="D290" s="1"/>
      <c r="E290" s="1"/>
      <c r="F290" s="1"/>
    </row>
    <row r="291" spans="1:6" ht="15.75">
      <c r="A291" s="1"/>
      <c r="B291" s="1"/>
      <c r="C291" s="1"/>
      <c r="D291" s="1"/>
      <c r="E291" s="1"/>
      <c r="F291" s="1"/>
    </row>
    <row r="292" spans="1:6" ht="15.75">
      <c r="A292" s="1"/>
      <c r="B292" s="1"/>
      <c r="C292" s="1"/>
      <c r="D292" s="1"/>
      <c r="E292" s="1"/>
      <c r="F292" s="1"/>
    </row>
    <row r="293" spans="1:6" ht="15.75">
      <c r="A293" s="1"/>
      <c r="B293" s="1"/>
      <c r="C293" s="1"/>
      <c r="D293" s="1"/>
      <c r="E293" s="1"/>
      <c r="F293" s="1"/>
    </row>
    <row r="294" spans="1:6" ht="15.75">
      <c r="A294" s="1"/>
      <c r="B294" s="1"/>
      <c r="C294" s="1"/>
      <c r="D294" s="1"/>
      <c r="E294" s="1"/>
      <c r="F294" s="1"/>
    </row>
    <row r="295" spans="1:6" ht="15.75">
      <c r="A295" s="1"/>
      <c r="B295" s="1"/>
      <c r="C295" s="1"/>
      <c r="D295" s="1"/>
      <c r="E295" s="1"/>
      <c r="F295" s="1"/>
    </row>
    <row r="296" spans="1:6" ht="15.75">
      <c r="A296" s="1"/>
      <c r="B296" s="1"/>
      <c r="C296" s="1"/>
      <c r="D296" s="1"/>
      <c r="E296" s="1"/>
      <c r="F296" s="1"/>
    </row>
    <row r="297" spans="1:6" ht="15.75">
      <c r="A297" s="1"/>
      <c r="B297" s="1"/>
      <c r="C297" s="1"/>
      <c r="D297" s="1"/>
      <c r="E297" s="1"/>
      <c r="F297" s="1"/>
    </row>
    <row r="298" spans="1:6" ht="15.75">
      <c r="A298" s="1"/>
      <c r="B298" s="1"/>
      <c r="C298" s="1"/>
      <c r="D298" s="1"/>
      <c r="E298" s="1"/>
      <c r="F298" s="1"/>
    </row>
    <row r="299" spans="1:6" ht="15.75">
      <c r="A299" s="1"/>
      <c r="B299" s="1"/>
      <c r="C299" s="1"/>
      <c r="D299" s="1"/>
      <c r="E299" s="1"/>
      <c r="F299" s="1"/>
    </row>
    <row r="300" spans="1:6" ht="15.75">
      <c r="A300" s="1"/>
      <c r="B300" s="1"/>
      <c r="C300" s="1"/>
      <c r="D300" s="1"/>
      <c r="E300" s="1"/>
      <c r="F300" s="1"/>
    </row>
    <row r="301" spans="1:6" ht="15.75">
      <c r="A301" s="1"/>
      <c r="B301" s="1"/>
      <c r="C301" s="1"/>
      <c r="D301" s="1"/>
      <c r="E301" s="1"/>
      <c r="F301" s="1"/>
    </row>
    <row r="302" spans="1:6" ht="15.75">
      <c r="A302" s="1"/>
      <c r="B302" s="1"/>
      <c r="C302" s="1"/>
      <c r="D302" s="1"/>
      <c r="E302" s="1"/>
      <c r="F302" s="1"/>
    </row>
    <row r="303" spans="1:6" ht="15.75">
      <c r="A303" s="1"/>
      <c r="B303" s="1"/>
      <c r="C303" s="1"/>
      <c r="D303" s="1"/>
      <c r="E303" s="1"/>
      <c r="F303" s="1"/>
    </row>
    <row r="304" spans="1:6" ht="15.75">
      <c r="A304" s="1"/>
      <c r="B304" s="1"/>
      <c r="C304" s="1"/>
      <c r="D304" s="1"/>
      <c r="E304" s="1"/>
      <c r="F304" s="1"/>
    </row>
    <row r="305" spans="1:6" ht="15.75">
      <c r="A305" s="1"/>
      <c r="B305" s="1"/>
      <c r="C305" s="1"/>
      <c r="D305" s="1"/>
      <c r="E305" s="1"/>
      <c r="F305" s="1"/>
    </row>
    <row r="306" spans="1:6" ht="15.75">
      <c r="A306" s="1"/>
      <c r="B306" s="1"/>
      <c r="C306" s="1"/>
      <c r="D306" s="1"/>
      <c r="E306" s="1"/>
      <c r="F306" s="1"/>
    </row>
    <row r="307" spans="1:6" ht="15.75">
      <c r="A307" s="1"/>
      <c r="B307" s="1"/>
      <c r="C307" s="1"/>
      <c r="D307" s="1"/>
      <c r="E307" s="1"/>
      <c r="F307" s="1"/>
    </row>
    <row r="308" spans="1:6" ht="15.75">
      <c r="A308" s="1"/>
      <c r="B308" s="1"/>
      <c r="C308" s="1"/>
      <c r="D308" s="1"/>
      <c r="E308" s="1"/>
      <c r="F308" s="1"/>
    </row>
    <row r="309" spans="1:6" ht="15.75">
      <c r="A309" s="1"/>
      <c r="B309" s="1"/>
      <c r="C309" s="1"/>
      <c r="D309" s="1"/>
      <c r="E309" s="1"/>
      <c r="F309" s="1"/>
    </row>
    <row r="310" spans="1:6" ht="15.75">
      <c r="A310" s="1"/>
      <c r="B310" s="1"/>
      <c r="C310" s="1"/>
      <c r="D310" s="1"/>
      <c r="E310" s="1"/>
      <c r="F310" s="1"/>
    </row>
    <row r="311" spans="1:6" ht="15.75">
      <c r="A311" s="1"/>
      <c r="B311" s="1"/>
      <c r="C311" s="1"/>
      <c r="D311" s="1"/>
      <c r="E311" s="1"/>
      <c r="F311" s="1"/>
    </row>
    <row r="312" spans="1:6" ht="15.75">
      <c r="A312" s="1"/>
      <c r="B312" s="1"/>
      <c r="C312" s="1"/>
      <c r="D312" s="1"/>
      <c r="E312" s="1"/>
      <c r="F312" s="1"/>
    </row>
    <row r="313" spans="1:6" ht="15.75">
      <c r="A313" s="1"/>
      <c r="B313" s="1"/>
      <c r="C313" s="1"/>
      <c r="D313" s="1"/>
      <c r="E313" s="1"/>
      <c r="F313" s="1"/>
    </row>
    <row r="314" spans="1:6" ht="15.75">
      <c r="A314" s="1"/>
      <c r="B314" s="1"/>
      <c r="C314" s="1"/>
      <c r="D314" s="1"/>
      <c r="E314" s="1"/>
      <c r="F314" s="1"/>
    </row>
    <row r="315" spans="1:6" ht="15.75">
      <c r="A315" s="1"/>
      <c r="B315" s="1"/>
      <c r="C315" s="1"/>
      <c r="D315" s="1"/>
      <c r="E315" s="1"/>
      <c r="F315" s="1"/>
    </row>
    <row r="316" spans="1:6" ht="15.75">
      <c r="A316" s="1"/>
      <c r="B316" s="1"/>
      <c r="C316" s="1"/>
      <c r="D316" s="1"/>
      <c r="E316" s="1"/>
      <c r="F316" s="1"/>
    </row>
    <row r="317" spans="1:6" ht="15.75">
      <c r="A317" s="1"/>
      <c r="B317" s="1"/>
      <c r="C317" s="1"/>
      <c r="D317" s="1"/>
      <c r="E317" s="1"/>
      <c r="F317" s="1"/>
    </row>
    <row r="318" spans="1:6" ht="15.75">
      <c r="A318" s="1"/>
      <c r="B318" s="1"/>
      <c r="C318" s="1"/>
      <c r="D318" s="1"/>
      <c r="E318" s="1"/>
      <c r="F318" s="1"/>
    </row>
    <row r="319" spans="1:6" ht="15.75">
      <c r="A319" s="1"/>
      <c r="B319" s="1"/>
      <c r="C319" s="1"/>
      <c r="D319" s="1"/>
      <c r="E319" s="1"/>
      <c r="F319" s="1"/>
    </row>
    <row r="320" spans="1:6" ht="15.75">
      <c r="A320" s="1"/>
      <c r="B320" s="1"/>
      <c r="C320" s="1"/>
      <c r="D320" s="1"/>
      <c r="E320" s="1"/>
      <c r="F320" s="1"/>
    </row>
    <row r="321" spans="1:6" ht="15.75">
      <c r="A321" s="1"/>
      <c r="B321" s="1"/>
      <c r="C321" s="1"/>
      <c r="D321" s="1"/>
      <c r="E321" s="1"/>
      <c r="F321" s="1"/>
    </row>
    <row r="322" spans="1:6" ht="15.75">
      <c r="A322" s="1"/>
      <c r="B322" s="1"/>
      <c r="C322" s="1"/>
      <c r="D322" s="1"/>
      <c r="E322" s="1"/>
      <c r="F322" s="1"/>
    </row>
    <row r="323" spans="1:6" ht="15.75">
      <c r="A323" s="1"/>
      <c r="B323" s="1"/>
      <c r="C323" s="1"/>
      <c r="D323" s="1"/>
      <c r="E323" s="1"/>
      <c r="F323" s="1"/>
    </row>
    <row r="324" spans="1:6" ht="15.75">
      <c r="A324" s="1"/>
      <c r="B324" s="1"/>
      <c r="C324" s="1"/>
      <c r="D324" s="1"/>
      <c r="E324" s="1"/>
      <c r="F324" s="1"/>
    </row>
    <row r="325" spans="1:6" ht="15.75">
      <c r="A325" s="1"/>
      <c r="B325" s="1"/>
      <c r="C325" s="1"/>
      <c r="D325" s="1"/>
      <c r="E325" s="1"/>
      <c r="F325" s="1"/>
    </row>
    <row r="326" spans="1:6" ht="15.75">
      <c r="A326" s="1"/>
      <c r="B326" s="1"/>
      <c r="C326" s="1"/>
      <c r="D326" s="1"/>
      <c r="E326" s="1"/>
      <c r="F326" s="1"/>
    </row>
    <row r="327" spans="1:6" ht="15.75">
      <c r="A327" s="1"/>
      <c r="B327" s="1"/>
      <c r="C327" s="1"/>
      <c r="D327" s="1"/>
      <c r="E327" s="1"/>
      <c r="F327" s="1"/>
    </row>
    <row r="328" spans="1:6" ht="15.75">
      <c r="A328" s="1"/>
      <c r="B328" s="1"/>
      <c r="C328" s="1"/>
      <c r="D328" s="1"/>
      <c r="E328" s="1"/>
      <c r="F328" s="1"/>
    </row>
    <row r="329" spans="1:6" ht="15.75">
      <c r="A329" s="1"/>
      <c r="B329" s="1"/>
      <c r="C329" s="1"/>
      <c r="D329" s="1"/>
      <c r="E329" s="1"/>
      <c r="F329" s="1"/>
    </row>
    <row r="330" spans="1:6" ht="15.75">
      <c r="A330" s="1"/>
      <c r="B330" s="1"/>
      <c r="C330" s="1"/>
      <c r="D330" s="1"/>
      <c r="E330" s="1"/>
      <c r="F330" s="1"/>
    </row>
    <row r="331" spans="1:6" ht="15.75">
      <c r="A331" s="1"/>
      <c r="B331" s="1"/>
      <c r="C331" s="1"/>
      <c r="D331" s="1"/>
      <c r="E331" s="1"/>
      <c r="F331" s="1"/>
    </row>
    <row r="332" spans="1:6" ht="15.75">
      <c r="A332" s="1"/>
      <c r="B332" s="1"/>
      <c r="C332" s="1"/>
      <c r="D332" s="1"/>
      <c r="E332" s="1"/>
      <c r="F332" s="1"/>
    </row>
    <row r="333" spans="1:6" ht="15.75">
      <c r="A333" s="1"/>
      <c r="B333" s="1"/>
      <c r="C333" s="1"/>
      <c r="D333" s="1"/>
      <c r="E333" s="1"/>
      <c r="F333" s="1"/>
    </row>
    <row r="334" spans="1:6" ht="15.75">
      <c r="A334" s="1"/>
      <c r="B334" s="1"/>
      <c r="C334" s="1"/>
      <c r="D334" s="1"/>
      <c r="E334" s="1"/>
      <c r="F334" s="1"/>
    </row>
    <row r="335" spans="1:6" ht="15.75">
      <c r="A335" s="1"/>
      <c r="B335" s="1"/>
      <c r="C335" s="1"/>
      <c r="D335" s="1"/>
      <c r="E335" s="1"/>
      <c r="F335" s="1"/>
    </row>
    <row r="336" spans="1:6" ht="15.75">
      <c r="A336" s="1"/>
      <c r="B336" s="1"/>
      <c r="C336" s="1"/>
      <c r="D336" s="1"/>
      <c r="E336" s="1"/>
      <c r="F336" s="1"/>
    </row>
    <row r="337" spans="1:6" ht="15.75">
      <c r="A337" s="1"/>
      <c r="B337" s="1"/>
      <c r="C337" s="1"/>
      <c r="D337" s="1"/>
      <c r="E337" s="1"/>
      <c r="F337" s="1"/>
    </row>
    <row r="338" spans="1:6" ht="15.75">
      <c r="A338" s="1"/>
      <c r="B338" s="1"/>
      <c r="C338" s="1"/>
      <c r="D338" s="1"/>
      <c r="E338" s="1"/>
      <c r="F338" s="1"/>
    </row>
    <row r="339" spans="1:6" ht="15.75">
      <c r="A339" s="1"/>
      <c r="B339" s="1"/>
      <c r="C339" s="1"/>
      <c r="D339" s="1"/>
      <c r="E339" s="1"/>
      <c r="F339" s="1"/>
    </row>
    <row r="340" spans="1:6" ht="15.75">
      <c r="A340" s="1"/>
      <c r="B340" s="1"/>
      <c r="C340" s="1"/>
      <c r="D340" s="1"/>
      <c r="E340" s="1"/>
      <c r="F340" s="1"/>
    </row>
    <row r="341" spans="1:6" ht="15.75">
      <c r="A341" s="1"/>
      <c r="B341" s="1"/>
      <c r="C341" s="1"/>
      <c r="D341" s="1"/>
      <c r="E341" s="1"/>
      <c r="F341" s="1"/>
    </row>
    <row r="342" spans="1:6" ht="15.75">
      <c r="A342" s="1"/>
      <c r="B342" s="1"/>
      <c r="C342" s="1"/>
      <c r="D342" s="1"/>
      <c r="E342" s="1"/>
      <c r="F342" s="1"/>
    </row>
    <row r="343" spans="1:6" ht="15.75">
      <c r="A343" s="1"/>
      <c r="B343" s="1"/>
      <c r="C343" s="1"/>
      <c r="D343" s="1"/>
      <c r="E343" s="1"/>
      <c r="F343" s="1"/>
    </row>
    <row r="344" spans="1:6" ht="15.75">
      <c r="A344" s="1"/>
      <c r="B344" s="1"/>
      <c r="C344" s="1"/>
      <c r="D344" s="1"/>
      <c r="E344" s="1"/>
      <c r="F344" s="1"/>
    </row>
    <row r="345" spans="1:6" ht="15.75">
      <c r="A345" s="1"/>
      <c r="B345" s="1"/>
      <c r="C345" s="1"/>
      <c r="D345" s="1"/>
      <c r="E345" s="1"/>
      <c r="F345" s="1"/>
    </row>
    <row r="346" spans="1:6" ht="15.75">
      <c r="A346" s="1"/>
      <c r="B346" s="1"/>
      <c r="C346" s="1"/>
      <c r="D346" s="1"/>
      <c r="E346" s="1"/>
      <c r="F346" s="1"/>
    </row>
    <row r="347" spans="1:6" ht="15.75">
      <c r="A347" s="1"/>
      <c r="B347" s="1"/>
      <c r="C347" s="1"/>
      <c r="D347" s="1"/>
      <c r="E347" s="1"/>
      <c r="F347" s="1"/>
    </row>
    <row r="348" spans="1:6" ht="15.75">
      <c r="A348" s="1"/>
      <c r="B348" s="1"/>
      <c r="C348" s="1"/>
      <c r="D348" s="1"/>
      <c r="E348" s="1"/>
      <c r="F348" s="1"/>
    </row>
    <row r="349" spans="1:6" ht="15.75">
      <c r="A349" s="1"/>
      <c r="B349" s="1"/>
      <c r="C349" s="1"/>
      <c r="D349" s="1"/>
      <c r="E349" s="1"/>
      <c r="F349" s="1"/>
    </row>
    <row r="350" spans="1:6" ht="15.75">
      <c r="A350" s="1"/>
      <c r="B350" s="1"/>
      <c r="C350" s="1"/>
      <c r="D350" s="1"/>
      <c r="E350" s="1"/>
      <c r="F350" s="1"/>
    </row>
    <row r="351" spans="1:6" ht="15.75">
      <c r="A351" s="1"/>
      <c r="B351" s="1"/>
      <c r="C351" s="1"/>
      <c r="D351" s="1"/>
      <c r="E351" s="1"/>
      <c r="F351" s="1"/>
    </row>
    <row r="352" spans="1:6" ht="15.75">
      <c r="A352" s="1"/>
      <c r="B352" s="1"/>
      <c r="C352" s="1"/>
      <c r="D352" s="1"/>
      <c r="E352" s="1"/>
      <c r="F352" s="1"/>
    </row>
    <row r="353" spans="1:6" ht="15.75">
      <c r="A353" s="1"/>
      <c r="B353" s="1"/>
      <c r="C353" s="1"/>
      <c r="D353" s="1"/>
      <c r="E353" s="1"/>
      <c r="F353" s="1"/>
    </row>
    <row r="354" spans="1:6" ht="15.75">
      <c r="A354" s="1"/>
      <c r="B354" s="1"/>
      <c r="C354" s="1"/>
      <c r="D354" s="1"/>
      <c r="E354" s="1"/>
      <c r="F354" s="1"/>
    </row>
    <row r="355" spans="1:6" ht="15.75">
      <c r="A355" s="1"/>
      <c r="B355" s="1"/>
      <c r="C355" s="1"/>
      <c r="D355" s="1"/>
      <c r="E355" s="1"/>
      <c r="F355" s="1"/>
    </row>
    <row r="356" spans="1:6" ht="15.75">
      <c r="A356" s="1"/>
      <c r="B356" s="1"/>
      <c r="C356" s="1"/>
      <c r="D356" s="1"/>
      <c r="E356" s="1"/>
      <c r="F356" s="1"/>
    </row>
    <row r="357" spans="1:6" ht="15.75">
      <c r="A357" s="1"/>
      <c r="B357" s="1"/>
      <c r="C357" s="1"/>
      <c r="D357" s="1"/>
      <c r="E357" s="1"/>
      <c r="F357" s="1"/>
    </row>
    <row r="358" spans="1:6" ht="15.75">
      <c r="A358" s="1"/>
      <c r="B358" s="1"/>
      <c r="C358" s="1"/>
      <c r="D358" s="1"/>
      <c r="E358" s="1"/>
      <c r="F358" s="1"/>
    </row>
    <row r="359" spans="1:6" ht="15.75">
      <c r="A359" s="1"/>
      <c r="B359" s="1"/>
      <c r="C359" s="1"/>
      <c r="D359" s="1"/>
      <c r="E359" s="1"/>
      <c r="F359" s="1"/>
    </row>
    <row r="360" spans="1:6" ht="15.75">
      <c r="A360" s="1"/>
      <c r="B360" s="1"/>
      <c r="C360" s="1"/>
      <c r="D360" s="1"/>
      <c r="E360" s="1"/>
      <c r="F360" s="1"/>
    </row>
    <row r="361" spans="1:6" ht="15.75">
      <c r="A361" s="1"/>
      <c r="B361" s="1"/>
      <c r="C361" s="1"/>
      <c r="D361" s="1"/>
      <c r="E361" s="1"/>
      <c r="F361" s="1"/>
    </row>
    <row r="362" spans="1:6" ht="15.75">
      <c r="A362" s="1"/>
      <c r="B362" s="1"/>
      <c r="C362" s="1"/>
      <c r="D362" s="1"/>
      <c r="E362" s="1"/>
      <c r="F362" s="1"/>
    </row>
    <row r="363" spans="1:6" ht="15.75">
      <c r="A363" s="1"/>
      <c r="B363" s="1"/>
      <c r="C363" s="1"/>
      <c r="D363" s="1"/>
      <c r="E363" s="1"/>
      <c r="F363" s="1"/>
    </row>
    <row r="364" spans="1:6" ht="15.75">
      <c r="A364" s="1"/>
      <c r="B364" s="1"/>
      <c r="C364" s="1"/>
      <c r="D364" s="1"/>
      <c r="E364" s="1"/>
      <c r="F364" s="1"/>
    </row>
    <row r="365" spans="1:6" ht="15.75">
      <c r="A365" s="1"/>
      <c r="B365" s="1"/>
      <c r="C365" s="1"/>
      <c r="D365" s="1"/>
      <c r="E365" s="1"/>
      <c r="F365" s="1"/>
    </row>
    <row r="366" spans="1:6" ht="15.75">
      <c r="A366" s="1"/>
      <c r="B366" s="1"/>
      <c r="C366" s="1"/>
      <c r="D366" s="1"/>
      <c r="E366" s="1"/>
      <c r="F366" s="1"/>
    </row>
    <row r="367" spans="1:6" ht="15.75">
      <c r="A367" s="1"/>
      <c r="B367" s="1"/>
      <c r="C367" s="1"/>
      <c r="D367" s="1"/>
      <c r="E367" s="1"/>
      <c r="F367" s="1"/>
    </row>
    <row r="368" spans="1:6" ht="15.75">
      <c r="A368" s="1"/>
      <c r="B368" s="1"/>
      <c r="C368" s="1"/>
      <c r="D368" s="1"/>
      <c r="E368" s="1"/>
      <c r="F368" s="1"/>
    </row>
    <row r="369" spans="1:6" ht="15.75">
      <c r="A369" s="1"/>
      <c r="B369" s="1"/>
      <c r="C369" s="1"/>
      <c r="D369" s="1"/>
      <c r="E369" s="1"/>
      <c r="F369" s="1"/>
    </row>
    <row r="370" spans="1:6" ht="15.75">
      <c r="A370" s="1"/>
      <c r="B370" s="1"/>
      <c r="C370" s="1"/>
      <c r="D370" s="1"/>
      <c r="E370" s="1"/>
      <c r="F370" s="1"/>
    </row>
    <row r="371" spans="1:6" ht="15.75">
      <c r="A371" s="1"/>
      <c r="B371" s="1"/>
      <c r="C371" s="1"/>
      <c r="D371" s="1"/>
      <c r="E371" s="1"/>
      <c r="F371" s="1"/>
    </row>
    <row r="372" spans="1:6" ht="15.75">
      <c r="A372" s="1"/>
      <c r="B372" s="1"/>
      <c r="C372" s="1"/>
      <c r="D372" s="1"/>
      <c r="E372" s="1"/>
      <c r="F372" s="1"/>
    </row>
    <row r="373" spans="1:6" ht="15.75">
      <c r="A373" s="1"/>
      <c r="B373" s="1"/>
      <c r="C373" s="1"/>
      <c r="D373" s="1"/>
      <c r="E373" s="1"/>
      <c r="F373" s="1"/>
    </row>
    <row r="374" spans="1:6" ht="15.75">
      <c r="A374" s="1"/>
      <c r="B374" s="1"/>
      <c r="C374" s="1"/>
      <c r="D374" s="1"/>
      <c r="E374" s="1"/>
      <c r="F374" s="1"/>
    </row>
    <row r="375" spans="1:6" ht="15.75">
      <c r="A375" s="1"/>
      <c r="B375" s="1"/>
      <c r="C375" s="1"/>
      <c r="D375" s="1"/>
      <c r="E375" s="1"/>
      <c r="F375" s="1"/>
    </row>
    <row r="376" spans="1:6" ht="15.75">
      <c r="A376" s="1"/>
      <c r="B376" s="1"/>
      <c r="C376" s="1"/>
      <c r="D376" s="1"/>
      <c r="E376" s="1"/>
      <c r="F376" s="1"/>
    </row>
    <row r="377" spans="1:6" ht="15.75">
      <c r="A377" s="1"/>
      <c r="B377" s="1"/>
      <c r="C377" s="1"/>
      <c r="D377" s="1"/>
      <c r="E377" s="1"/>
      <c r="F377" s="1"/>
    </row>
    <row r="378" spans="1:6" ht="15.75">
      <c r="A378" s="1"/>
      <c r="B378" s="1"/>
      <c r="C378" s="1"/>
      <c r="D378" s="1"/>
      <c r="E378" s="1"/>
      <c r="F378" s="1"/>
    </row>
    <row r="379" spans="1:6" ht="15.75">
      <c r="A379" s="1"/>
      <c r="B379" s="1"/>
      <c r="C379" s="1"/>
      <c r="D379" s="1"/>
      <c r="E379" s="1"/>
      <c r="F379" s="1"/>
    </row>
    <row r="380" spans="1:6" ht="15.75">
      <c r="A380" s="1"/>
      <c r="B380" s="1"/>
      <c r="C380" s="1"/>
      <c r="D380" s="1"/>
      <c r="E380" s="1"/>
      <c r="F380" s="1"/>
    </row>
    <row r="381" spans="1:6" ht="15.75">
      <c r="A381" s="1"/>
      <c r="B381" s="1"/>
      <c r="C381" s="1"/>
      <c r="D381" s="1"/>
      <c r="E381" s="1"/>
      <c r="F381" s="1"/>
    </row>
    <row r="382" spans="1:6" ht="15.75">
      <c r="A382" s="1"/>
      <c r="B382" s="1"/>
      <c r="C382" s="1"/>
      <c r="D382" s="1"/>
      <c r="E382" s="1"/>
      <c r="F382" s="1"/>
    </row>
    <row r="383" spans="1:6" ht="15.75">
      <c r="A383" s="1"/>
      <c r="B383" s="1"/>
      <c r="C383" s="1"/>
      <c r="D383" s="1"/>
      <c r="E383" s="1"/>
      <c r="F383" s="1"/>
    </row>
    <row r="384" spans="1:6" ht="15.75">
      <c r="A384" s="1"/>
      <c r="B384" s="1"/>
      <c r="C384" s="1"/>
      <c r="D384" s="1"/>
      <c r="E384" s="1"/>
      <c r="F384" s="1"/>
    </row>
    <row r="385" spans="1:6" ht="15.75">
      <c r="A385" s="1"/>
      <c r="B385" s="1"/>
      <c r="C385" s="1"/>
      <c r="D385" s="1"/>
      <c r="E385" s="1"/>
      <c r="F385" s="1"/>
    </row>
    <row r="386" spans="1:6" ht="15.75">
      <c r="A386" s="1"/>
      <c r="B386" s="1"/>
      <c r="C386" s="1"/>
      <c r="D386" s="1"/>
      <c r="E386" s="1"/>
      <c r="F386" s="1"/>
    </row>
    <row r="387" spans="1:6" ht="15.75">
      <c r="A387" s="1"/>
      <c r="B387" s="1"/>
      <c r="C387" s="1"/>
      <c r="D387" s="1"/>
      <c r="E387" s="1"/>
      <c r="F387" s="1"/>
    </row>
    <row r="388" spans="1:6" ht="15.75">
      <c r="A388" s="1"/>
      <c r="B388" s="1"/>
      <c r="C388" s="1"/>
      <c r="D388" s="1"/>
      <c r="E388" s="1"/>
      <c r="F388" s="1"/>
    </row>
    <row r="389" spans="1:6" ht="15.75">
      <c r="A389" s="1"/>
      <c r="B389" s="1"/>
      <c r="C389" s="1"/>
      <c r="D389" s="1"/>
      <c r="E389" s="1"/>
      <c r="F389" s="1"/>
    </row>
    <row r="390" spans="1:6" ht="15.75">
      <c r="A390" s="1"/>
      <c r="B390" s="1"/>
      <c r="C390" s="1"/>
      <c r="D390" s="1"/>
      <c r="E390" s="1"/>
      <c r="F390" s="1"/>
    </row>
    <row r="391" spans="1:6" ht="15.75">
      <c r="A391" s="1"/>
      <c r="B391" s="1"/>
      <c r="C391" s="1"/>
      <c r="D391" s="1"/>
      <c r="E391" s="1"/>
      <c r="F391" s="1"/>
    </row>
    <row r="392" spans="1:6" ht="15.75">
      <c r="A392" s="1"/>
      <c r="B392" s="1"/>
      <c r="C392" s="1"/>
      <c r="D392" s="1"/>
      <c r="E392" s="1"/>
      <c r="F392" s="1"/>
    </row>
    <row r="393" spans="1:6" ht="15.75">
      <c r="A393" s="1"/>
      <c r="B393" s="1"/>
      <c r="C393" s="1"/>
      <c r="D393" s="1"/>
      <c r="E393" s="1"/>
      <c r="F393" s="1"/>
    </row>
    <row r="394" spans="1:6" ht="15.75">
      <c r="A394" s="1"/>
      <c r="B394" s="1"/>
      <c r="C394" s="1"/>
      <c r="D394" s="1"/>
      <c r="E394" s="1"/>
      <c r="F394" s="1"/>
    </row>
    <row r="395" spans="1:6" ht="15.75">
      <c r="A395" s="1"/>
      <c r="B395" s="1"/>
      <c r="C395" s="1"/>
      <c r="D395" s="1"/>
      <c r="E395" s="1"/>
      <c r="F395" s="1"/>
    </row>
    <row r="396" spans="1:6" ht="15.75">
      <c r="A396" s="1"/>
      <c r="B396" s="1"/>
      <c r="C396" s="1"/>
      <c r="D396" s="1"/>
      <c r="E396" s="1"/>
      <c r="F396" s="1"/>
    </row>
    <row r="397" spans="1:6" ht="15.75">
      <c r="A397" s="1"/>
      <c r="B397" s="1"/>
      <c r="C397" s="1"/>
      <c r="D397" s="1"/>
      <c r="E397" s="1"/>
      <c r="F397" s="1"/>
    </row>
    <row r="398" spans="1:6" ht="15.75">
      <c r="A398" s="1"/>
      <c r="B398" s="1"/>
      <c r="C398" s="1"/>
      <c r="D398" s="1"/>
      <c r="E398" s="1"/>
      <c r="F398" s="1"/>
    </row>
    <row r="399" spans="1:6" ht="15.75">
      <c r="A399" s="1"/>
      <c r="B399" s="1"/>
      <c r="C399" s="1"/>
      <c r="D399" s="1"/>
      <c r="E399" s="1"/>
      <c r="F399" s="1"/>
    </row>
    <row r="400" spans="1:6" ht="15.75">
      <c r="A400" s="1"/>
      <c r="B400" s="1"/>
      <c r="C400" s="1"/>
      <c r="D400" s="1"/>
      <c r="E400" s="1"/>
      <c r="F400" s="1"/>
    </row>
    <row r="401" spans="1:6" ht="15.75">
      <c r="A401" s="1"/>
      <c r="B401" s="1"/>
      <c r="C401" s="1"/>
      <c r="D401" s="1"/>
      <c r="E401" s="1"/>
      <c r="F401" s="1"/>
    </row>
    <row r="402" spans="1:6" ht="15.75">
      <c r="A402" s="1"/>
      <c r="B402" s="1"/>
      <c r="C402" s="1"/>
      <c r="D402" s="1"/>
      <c r="E402" s="1"/>
      <c r="F402" s="1"/>
    </row>
    <row r="403" spans="1:6" ht="15.75">
      <c r="A403" s="1"/>
      <c r="B403" s="1"/>
      <c r="C403" s="1"/>
      <c r="D403" s="1"/>
      <c r="E403" s="1"/>
      <c r="F403" s="1"/>
    </row>
    <row r="404" spans="1:6" ht="15.75">
      <c r="A404" s="1"/>
      <c r="B404" s="1"/>
      <c r="C404" s="1"/>
      <c r="D404" s="1"/>
      <c r="E404" s="1"/>
      <c r="F404" s="1"/>
    </row>
    <row r="405" spans="1:6" ht="15.75">
      <c r="A405" s="1"/>
      <c r="B405" s="1"/>
      <c r="C405" s="1"/>
      <c r="D405" s="1"/>
      <c r="E405" s="1"/>
      <c r="F405" s="1"/>
    </row>
    <row r="406" spans="1:6" ht="15.75">
      <c r="A406" s="1"/>
      <c r="B406" s="1"/>
      <c r="C406" s="1"/>
      <c r="D406" s="1"/>
      <c r="E406" s="1"/>
      <c r="F406" s="1"/>
    </row>
    <row r="407" spans="1:6" ht="15.75">
      <c r="A407" s="1"/>
      <c r="B407" s="1"/>
      <c r="C407" s="1"/>
      <c r="D407" s="1"/>
      <c r="E407" s="1"/>
      <c r="F407" s="1"/>
    </row>
    <row r="408" spans="1:6" ht="15.75">
      <c r="A408" s="1"/>
      <c r="B408" s="1"/>
      <c r="C408" s="1"/>
      <c r="D408" s="1"/>
      <c r="E408" s="1"/>
      <c r="F408" s="1"/>
    </row>
    <row r="409" spans="1:6" ht="15.75">
      <c r="A409" s="1"/>
      <c r="B409" s="1"/>
      <c r="C409" s="1"/>
      <c r="D409" s="1"/>
      <c r="E409" s="1"/>
      <c r="F409" s="1"/>
    </row>
    <row r="410" spans="1:6" ht="15.75">
      <c r="A410" s="1"/>
      <c r="B410" s="1"/>
      <c r="C410" s="1"/>
      <c r="D410" s="1"/>
      <c r="E410" s="1"/>
      <c r="F410" s="1"/>
    </row>
    <row r="411" spans="1:6" ht="15.75">
      <c r="A411" s="1"/>
      <c r="B411" s="1"/>
      <c r="C411" s="1"/>
      <c r="D411" s="1"/>
      <c r="E411" s="1"/>
      <c r="F411" s="1"/>
    </row>
    <row r="412" spans="1:6" ht="15.75">
      <c r="A412" s="1"/>
      <c r="B412" s="1"/>
      <c r="C412" s="1"/>
      <c r="D412" s="1"/>
      <c r="E412" s="1"/>
      <c r="F412" s="1"/>
    </row>
    <row r="413" spans="1:6" ht="15.75">
      <c r="A413" s="1"/>
      <c r="B413" s="1"/>
      <c r="C413" s="1"/>
      <c r="D413" s="1"/>
      <c r="E413" s="1"/>
      <c r="F413" s="1"/>
    </row>
    <row r="414" spans="1:6" ht="15.75">
      <c r="A414" s="1"/>
      <c r="B414" s="1"/>
      <c r="C414" s="1"/>
      <c r="D414" s="1"/>
      <c r="E414" s="1"/>
      <c r="F414" s="1"/>
    </row>
    <row r="415" spans="1:6" ht="15.75">
      <c r="A415" s="1"/>
      <c r="B415" s="1"/>
      <c r="C415" s="1"/>
      <c r="D415" s="1"/>
      <c r="E415" s="1"/>
      <c r="F415" s="1"/>
    </row>
    <row r="416" spans="1:6" ht="15.75">
      <c r="A416" s="1"/>
      <c r="B416" s="1"/>
      <c r="C416" s="1"/>
      <c r="D416" s="1"/>
      <c r="E416" s="1"/>
      <c r="F416" s="1"/>
    </row>
    <row r="417" spans="1:6" ht="15.75">
      <c r="A417" s="1"/>
      <c r="B417" s="1"/>
      <c r="C417" s="1"/>
      <c r="D417" s="1"/>
      <c r="E417" s="1"/>
      <c r="F417" s="1"/>
    </row>
    <row r="418" spans="1:6" ht="15.75">
      <c r="A418" s="1"/>
      <c r="B418" s="1"/>
      <c r="C418" s="1"/>
      <c r="D418" s="1"/>
      <c r="E418" s="1"/>
      <c r="F418" s="1"/>
    </row>
    <row r="419" spans="1:6" ht="15.75">
      <c r="A419" s="1"/>
      <c r="B419" s="1"/>
      <c r="C419" s="1"/>
      <c r="D419" s="1"/>
      <c r="E419" s="1"/>
      <c r="F419" s="1"/>
    </row>
    <row r="420" spans="1:6" ht="15.75">
      <c r="A420" s="1"/>
      <c r="B420" s="1"/>
      <c r="C420" s="1"/>
      <c r="D420" s="1"/>
      <c r="E420" s="1"/>
      <c r="F420" s="1"/>
    </row>
    <row r="421" spans="1:6" ht="15.75">
      <c r="A421" s="1"/>
      <c r="B421" s="1"/>
      <c r="C421" s="1"/>
      <c r="D421" s="1"/>
      <c r="E421" s="1"/>
      <c r="F421" s="1"/>
    </row>
    <row r="422" spans="1:6" ht="15.75">
      <c r="A422" s="1"/>
      <c r="B422" s="1"/>
      <c r="C422" s="1"/>
      <c r="D422" s="1"/>
      <c r="E422" s="1"/>
      <c r="F422" s="1"/>
    </row>
    <row r="423" spans="1:6" ht="15.75">
      <c r="A423" s="1"/>
      <c r="B423" s="1"/>
      <c r="C423" s="1"/>
      <c r="D423" s="1"/>
      <c r="E423" s="1"/>
      <c r="F423" s="1"/>
    </row>
    <row r="424" spans="1:6" ht="15.75">
      <c r="A424" s="1"/>
      <c r="B424" s="1"/>
      <c r="C424" s="1"/>
      <c r="D424" s="1"/>
      <c r="E424" s="1"/>
      <c r="F424" s="1"/>
    </row>
    <row r="425" spans="1:6" ht="15.75">
      <c r="A425" s="1"/>
      <c r="B425" s="1"/>
      <c r="C425" s="1"/>
      <c r="D425" s="1"/>
      <c r="E425" s="1"/>
      <c r="F425" s="1"/>
    </row>
    <row r="426" spans="1:6" ht="15.75">
      <c r="A426" s="1"/>
      <c r="B426" s="1"/>
      <c r="C426" s="1"/>
      <c r="D426" s="1"/>
      <c r="E426" s="1"/>
      <c r="F426" s="1"/>
    </row>
    <row r="427" spans="1:6" ht="15.75">
      <c r="A427" s="1"/>
      <c r="B427" s="1"/>
      <c r="C427" s="1"/>
      <c r="D427" s="1"/>
      <c r="E427" s="1"/>
      <c r="F427" s="1"/>
    </row>
    <row r="428" spans="1:6" ht="15.75">
      <c r="A428" s="1"/>
      <c r="B428" s="1"/>
      <c r="C428" s="1"/>
      <c r="D428" s="1"/>
      <c r="E428" s="1"/>
      <c r="F428" s="1"/>
    </row>
    <row r="429" spans="1:6" ht="15.75">
      <c r="A429" s="1"/>
      <c r="B429" s="1"/>
      <c r="C429" s="1"/>
      <c r="D429" s="1"/>
      <c r="E429" s="1"/>
      <c r="F429" s="1"/>
    </row>
    <row r="430" spans="1:6" ht="15.75">
      <c r="A430" s="1"/>
      <c r="B430" s="1"/>
      <c r="C430" s="1"/>
      <c r="D430" s="1"/>
      <c r="E430" s="1"/>
      <c r="F430" s="1"/>
    </row>
    <row r="431" spans="1:6" ht="15.75">
      <c r="A431" s="1"/>
      <c r="B431" s="1"/>
      <c r="C431" s="1"/>
      <c r="D431" s="1"/>
      <c r="E431" s="1"/>
      <c r="F431" s="1"/>
    </row>
    <row r="432" spans="1:6" ht="15.75">
      <c r="A432" s="1"/>
      <c r="B432" s="1"/>
      <c r="C432" s="1"/>
      <c r="D432" s="1"/>
      <c r="E432" s="1"/>
      <c r="F432" s="1"/>
    </row>
  </sheetData>
  <mergeCells count="53">
    <mergeCell ref="B31:C31"/>
    <mergeCell ref="D31:E31"/>
    <mergeCell ref="A1:F4"/>
    <mergeCell ref="A11:F11"/>
    <mergeCell ref="A20:F20"/>
    <mergeCell ref="B30:C30"/>
    <mergeCell ref="D30:E30"/>
    <mergeCell ref="A55:F55"/>
    <mergeCell ref="B35:E35"/>
    <mergeCell ref="B36:E36"/>
    <mergeCell ref="B37:E37"/>
    <mergeCell ref="B38:E38"/>
    <mergeCell ref="B40:E40"/>
    <mergeCell ref="B41:E41"/>
    <mergeCell ref="B42:E42"/>
    <mergeCell ref="C45:E45"/>
    <mergeCell ref="C46:E46"/>
    <mergeCell ref="C47:E47"/>
    <mergeCell ref="C48:E48"/>
    <mergeCell ref="D61:E61"/>
    <mergeCell ref="D62:E62"/>
    <mergeCell ref="A63:F63"/>
    <mergeCell ref="D65:E65"/>
    <mergeCell ref="B67:C67"/>
    <mergeCell ref="D67:E67"/>
    <mergeCell ref="B77:C77"/>
    <mergeCell ref="D77:E77"/>
    <mergeCell ref="B68:C68"/>
    <mergeCell ref="D68:E68"/>
    <mergeCell ref="B69:C69"/>
    <mergeCell ref="D69:E69"/>
    <mergeCell ref="D71:E71"/>
    <mergeCell ref="B72:C72"/>
    <mergeCell ref="D72:E72"/>
    <mergeCell ref="B73:C73"/>
    <mergeCell ref="D73:E73"/>
    <mergeCell ref="D75:E75"/>
    <mergeCell ref="B76:C76"/>
    <mergeCell ref="D76:E76"/>
    <mergeCell ref="B80:C80"/>
    <mergeCell ref="D80:E80"/>
    <mergeCell ref="B81:C81"/>
    <mergeCell ref="D81:E81"/>
    <mergeCell ref="B82:C82"/>
    <mergeCell ref="D82:E82"/>
    <mergeCell ref="B88:C88"/>
    <mergeCell ref="D88:E88"/>
    <mergeCell ref="B85:C85"/>
    <mergeCell ref="D85:E85"/>
    <mergeCell ref="B86:C86"/>
    <mergeCell ref="D86:E86"/>
    <mergeCell ref="B87:C87"/>
    <mergeCell ref="D87:E87"/>
  </mergeCells>
  <dataValidations count="2">
    <dataValidation type="list" allowBlank="1" showInputMessage="1" sqref="B6" xr:uid="{8A681B0D-858F-46DD-AA8A-41B99B03F956}">
      <formula1>$A$106:$A$114</formula1>
    </dataValidation>
    <dataValidation allowBlank="1" showInputMessage="1" showErrorMessage="1" promptTitle="Alert" prompt="Please select the correct protocol" sqref="D31 B31" xr:uid="{17DFA5FD-6A07-4DD5-800F-3606F7934CED}"/>
  </dataValidations>
  <hyperlinks>
    <hyperlink ref="D86" r:id="rId1" xr:uid="{757A2549-F3BF-4177-A725-83EED7F9627C}"/>
    <hyperlink ref="D87" r:id="rId2" xr:uid="{510490A8-4D89-493E-B575-A4181DD70853}"/>
  </hyperlinks>
  <pageMargins left="0.7" right="0.7" top="0.75" bottom="0.75" header="0.3" footer="0.3"/>
  <pageSetup paperSize="9" scale="54" fitToHeight="0" orientation="portrait" r:id="rId3"/>
  <headerFooter>
    <oddFooter>&amp;L&amp;"BNPP Type Light,Normal"Direct Connectivity - Schedule updated on &amp;D</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ADFF-2B2B-46EC-9313-72FB9A27A296}">
  <sheetPr>
    <tabColor rgb="FF00B050"/>
    <pageSetUpPr fitToPage="1"/>
  </sheetPr>
  <dimension ref="A4:Z60"/>
  <sheetViews>
    <sheetView showGridLines="0" view="pageLayout" topLeftCell="F1" zoomScale="55" zoomScaleNormal="60" zoomScaleSheetLayoutView="70" zoomScalePageLayoutView="55" workbookViewId="0">
      <selection sqref="A1:Y7"/>
    </sheetView>
  </sheetViews>
  <sheetFormatPr defaultColWidth="5.7109375" defaultRowHeight="15.75"/>
  <cols>
    <col min="1" max="1" width="5.7109375" style="10"/>
    <col min="2" max="2" width="16" style="10" customWidth="1"/>
    <col min="3" max="3" width="12.5703125" style="10" customWidth="1"/>
    <col min="4" max="4" width="13.28515625" style="10" customWidth="1"/>
    <col min="5" max="5" width="79.28515625" style="10" customWidth="1"/>
    <col min="6" max="6" width="19.140625" style="10" customWidth="1"/>
    <col min="7" max="7" width="21.5703125" style="10" customWidth="1"/>
    <col min="8" max="8" width="12.5703125" style="10" customWidth="1"/>
    <col min="9" max="9" width="21.7109375" style="10" bestFit="1" customWidth="1"/>
    <col min="10" max="10" width="43" style="10" customWidth="1"/>
    <col min="11" max="13" width="13.28515625" style="1" customWidth="1"/>
    <col min="14" max="14" width="1.85546875" style="1" customWidth="1"/>
    <col min="15" max="15" width="14.5703125" style="1" customWidth="1"/>
    <col min="16" max="16" width="1.85546875" style="1" customWidth="1"/>
    <col min="17" max="17" width="15.140625" style="1" customWidth="1"/>
    <col min="18" max="18" width="1.85546875" style="1" customWidth="1"/>
    <col min="19" max="19" width="19.28515625" style="1" customWidth="1"/>
    <col min="20" max="20" width="22" style="1" customWidth="1"/>
    <col min="21" max="22" width="20.28515625" style="1" customWidth="1"/>
    <col min="23" max="23" width="20.28515625" style="10" customWidth="1"/>
    <col min="24" max="24" width="19" style="10" customWidth="1"/>
    <col min="25" max="32" width="7.28515625" style="10" customWidth="1"/>
    <col min="33" max="16384" width="5.7109375" style="10"/>
  </cols>
  <sheetData>
    <row r="4" spans="2:26" ht="14.65" customHeight="1">
      <c r="B4" s="211" t="s">
        <v>107</v>
      </c>
      <c r="C4" s="211"/>
      <c r="D4" s="211"/>
      <c r="E4" s="211"/>
      <c r="F4" s="211"/>
      <c r="G4" s="211"/>
      <c r="H4" s="211"/>
      <c r="I4" s="211"/>
      <c r="J4" s="211"/>
      <c r="K4" s="211"/>
      <c r="L4" s="211"/>
      <c r="M4" s="211"/>
      <c r="N4" s="211"/>
      <c r="O4" s="211"/>
      <c r="P4" s="211"/>
      <c r="Q4" s="211"/>
      <c r="R4" s="211"/>
      <c r="S4" s="211"/>
      <c r="T4" s="211"/>
      <c r="U4" s="211"/>
      <c r="V4" s="211"/>
      <c r="W4" s="211"/>
      <c r="X4" s="211"/>
      <c r="Y4" s="211"/>
      <c r="Z4" s="58"/>
    </row>
    <row r="5" spans="2:26" ht="14.65" customHeight="1">
      <c r="B5" s="211"/>
      <c r="C5" s="211"/>
      <c r="D5" s="211"/>
      <c r="E5" s="211"/>
      <c r="F5" s="211"/>
      <c r="G5" s="211"/>
      <c r="H5" s="211"/>
      <c r="I5" s="211"/>
      <c r="J5" s="211"/>
      <c r="K5" s="211"/>
      <c r="L5" s="211"/>
      <c r="M5" s="211"/>
      <c r="N5" s="211"/>
      <c r="O5" s="211"/>
      <c r="P5" s="211"/>
      <c r="Q5" s="211"/>
      <c r="R5" s="211"/>
      <c r="S5" s="211"/>
      <c r="T5" s="211"/>
      <c r="U5" s="211"/>
      <c r="V5" s="211"/>
      <c r="W5" s="211"/>
      <c r="X5" s="211"/>
      <c r="Y5" s="211"/>
      <c r="Z5" s="58"/>
    </row>
    <row r="6" spans="2:26" ht="14.65" customHeight="1">
      <c r="B6" s="211"/>
      <c r="C6" s="211"/>
      <c r="D6" s="211"/>
      <c r="E6" s="211"/>
      <c r="F6" s="211"/>
      <c r="G6" s="211"/>
      <c r="H6" s="211"/>
      <c r="I6" s="211"/>
      <c r="J6" s="211"/>
      <c r="K6" s="211"/>
      <c r="L6" s="211"/>
      <c r="M6" s="211"/>
      <c r="N6" s="211"/>
      <c r="O6" s="211"/>
      <c r="P6" s="211"/>
      <c r="Q6" s="211"/>
      <c r="R6" s="211"/>
      <c r="S6" s="211"/>
      <c r="T6" s="211"/>
      <c r="U6" s="211"/>
      <c r="V6" s="211"/>
      <c r="W6" s="211"/>
      <c r="X6" s="211"/>
      <c r="Y6" s="211"/>
      <c r="Z6" s="58"/>
    </row>
    <row r="7" spans="2:26" ht="14.65" customHeight="1">
      <c r="B7" s="211"/>
      <c r="C7" s="211"/>
      <c r="D7" s="211"/>
      <c r="E7" s="211"/>
      <c r="F7" s="211"/>
      <c r="G7" s="211"/>
      <c r="H7" s="211"/>
      <c r="I7" s="211"/>
      <c r="J7" s="211"/>
      <c r="K7" s="211"/>
      <c r="L7" s="211"/>
      <c r="M7" s="211"/>
      <c r="N7" s="211"/>
      <c r="O7" s="211"/>
      <c r="P7" s="211"/>
      <c r="Q7" s="211"/>
      <c r="R7" s="211"/>
      <c r="S7" s="211"/>
      <c r="T7" s="211"/>
      <c r="U7" s="211"/>
      <c r="V7" s="211"/>
      <c r="W7" s="211"/>
      <c r="X7" s="211"/>
      <c r="Y7" s="211"/>
      <c r="Z7" s="58"/>
    </row>
    <row r="8" spans="2:26" s="8" customFormat="1">
      <c r="B8" s="2" t="s">
        <v>108</v>
      </c>
      <c r="C8" s="5"/>
      <c r="D8" s="3" t="str">
        <f>'Sched 3. Tech Params &amp; Contacts'!$B5</f>
        <v>CPSP BELGIË NV</v>
      </c>
      <c r="E8" s="4"/>
      <c r="F8" s="5"/>
      <c r="G8" s="5"/>
      <c r="H8" s="5"/>
      <c r="I8" s="5"/>
      <c r="J8" s="6" t="s">
        <v>109</v>
      </c>
      <c r="K8" s="59" t="str">
        <f>'Sched 3. Tech Params &amp; Contacts'!$F5</f>
        <v>02468 - TBD</v>
      </c>
      <c r="L8" s="59"/>
      <c r="M8" s="59"/>
      <c r="N8" s="5"/>
      <c r="O8" s="5"/>
      <c r="P8" s="5"/>
      <c r="Q8" s="5"/>
      <c r="R8" s="5"/>
      <c r="S8" s="5"/>
      <c r="T8" s="5"/>
      <c r="U8" s="60" t="s">
        <v>110</v>
      </c>
      <c r="V8" s="61"/>
      <c r="W8" s="5"/>
      <c r="X8" s="5"/>
      <c r="Y8" s="5"/>
    </row>
    <row r="9" spans="2:26" s="8" customFormat="1">
      <c r="B9" s="2" t="s">
        <v>111</v>
      </c>
      <c r="C9" s="5"/>
      <c r="D9" s="3" t="str">
        <f>'Sched 3. Tech Params &amp; Contacts'!$B6</f>
        <v>Establishement Institutions</v>
      </c>
      <c r="E9" s="4"/>
      <c r="F9" s="5"/>
      <c r="G9" s="5"/>
      <c r="H9" s="62"/>
      <c r="I9" s="5"/>
      <c r="J9" s="6" t="s">
        <v>112</v>
      </c>
      <c r="K9" s="59" t="str">
        <f>'Sched 3. Tech Params &amp; Contacts'!$F6</f>
        <v>4AAP510785</v>
      </c>
      <c r="L9" s="59"/>
      <c r="M9" s="59"/>
      <c r="N9" s="62"/>
      <c r="O9" s="62"/>
      <c r="P9" s="62"/>
      <c r="Q9" s="62"/>
      <c r="R9" s="62"/>
      <c r="S9" s="62"/>
      <c r="T9" s="62"/>
      <c r="U9" s="63" t="str">
        <f>COUNTIF(B$32:B$55,"Unchanged (U)")&amp;" account"&amp;IF(COUNTIF(B$32:B$55,"U")&gt;1,"s","")&amp;" unchanged"&amp; " (U)"</f>
        <v>0 account unchanged (U)</v>
      </c>
      <c r="V9" s="64"/>
      <c r="W9" s="62"/>
      <c r="X9" s="62"/>
      <c r="Y9" s="62"/>
    </row>
    <row r="10" spans="2:26" s="8" customFormat="1">
      <c r="B10" s="2" t="s">
        <v>113</v>
      </c>
      <c r="C10" s="5"/>
      <c r="D10" s="3" t="str">
        <f>'Sched 3. Tech Params &amp; Contacts'!$B7</f>
        <v>Belgium</v>
      </c>
      <c r="E10" s="4"/>
      <c r="F10" s="5"/>
      <c r="G10" s="5"/>
      <c r="H10" s="62"/>
      <c r="I10" s="5"/>
      <c r="J10" s="6" t="s">
        <v>114</v>
      </c>
      <c r="K10" s="59" t="str">
        <f>'Sched 3. Tech Params &amp; Contacts'!$F7</f>
        <v>TBD</v>
      </c>
      <c r="L10" s="59"/>
      <c r="M10" s="59"/>
      <c r="N10" s="59"/>
      <c r="O10" s="59"/>
      <c r="P10" s="59"/>
      <c r="Q10" s="59"/>
      <c r="R10" s="59"/>
      <c r="S10" s="59"/>
      <c r="T10" s="59"/>
      <c r="U10" s="63" t="str">
        <f>COUNTIF(B$31:B$55,"Added (A)")&amp;" account"&amp;IF(COUNTIF(B$31:B$55,"A")&gt;1,"s","")&amp;" added"&amp; " (A)"</f>
        <v>22 account added (A)</v>
      </c>
      <c r="V10" s="64"/>
      <c r="W10" s="62"/>
      <c r="X10" s="62"/>
      <c r="Y10" s="62"/>
    </row>
    <row r="11" spans="2:26" s="8" customFormat="1">
      <c r="B11" s="2" t="s">
        <v>115</v>
      </c>
      <c r="C11" s="5"/>
      <c r="D11" s="3" t="str">
        <f>'Sched 3. Tech Params &amp; Contacts'!$B8</f>
        <v>API 4 Corporate</v>
      </c>
      <c r="E11" s="4"/>
      <c r="F11" s="5"/>
      <c r="G11" s="5"/>
      <c r="H11" s="62"/>
      <c r="I11" s="5"/>
      <c r="J11" s="6" t="s">
        <v>116</v>
      </c>
      <c r="K11" s="59" t="str">
        <f>'Sched 3. Tech Params &amp; Contacts'!$F8</f>
        <v>DCA Standard</v>
      </c>
      <c r="L11" s="59"/>
      <c r="M11" s="59"/>
      <c r="N11" s="59"/>
      <c r="O11" s="59"/>
      <c r="P11" s="59"/>
      <c r="Q11" s="59"/>
      <c r="R11" s="59"/>
      <c r="S11" s="59"/>
      <c r="T11" s="59"/>
      <c r="U11" s="63" t="str">
        <f>COUNTIF(B$32:B$55,"Suppressed (S)")&amp;" account"&amp;IF(COUNTIF(B$32:B$55,"R")&gt;1,"s","")&amp;" deleted"&amp; " (S)"</f>
        <v>0 account deleted (S)</v>
      </c>
      <c r="V11" s="64"/>
      <c r="W11" s="62"/>
      <c r="X11" s="62"/>
      <c r="Y11" s="62"/>
    </row>
    <row r="12" spans="2:26" s="8" customFormat="1">
      <c r="B12" s="2" t="s">
        <v>117</v>
      </c>
      <c r="C12" s="5"/>
      <c r="D12" s="3" t="str">
        <f>'Sched 3. Tech Params &amp; Contacts'!$B9</f>
        <v>Frédéric Dufond</v>
      </c>
      <c r="E12" s="4"/>
      <c r="F12" s="5"/>
      <c r="G12" s="5"/>
      <c r="H12" s="5"/>
      <c r="I12" s="5"/>
      <c r="J12" s="6" t="s">
        <v>118</v>
      </c>
      <c r="K12" s="59" t="str">
        <f>'Sched 3. Tech Params &amp; Contacts'!$F9</f>
        <v>BNP PARIBAS FORTIS SA</v>
      </c>
      <c r="L12" s="59"/>
      <c r="M12" s="59"/>
      <c r="N12" s="59"/>
      <c r="O12" s="59"/>
      <c r="P12" s="59"/>
      <c r="Q12" s="59"/>
      <c r="R12" s="59"/>
      <c r="S12" s="59"/>
      <c r="T12" s="59"/>
      <c r="U12" s="63" t="str">
        <f>COUNTIF(B$32:B$55,"Modified (M)")&amp;" account"&amp;IF(COUNTIF(B$32:B$55,"M")&gt;1,"s","")&amp;" modified"&amp; " (M)"</f>
        <v>0 account modified (M)</v>
      </c>
      <c r="V12" s="61"/>
      <c r="W12" s="5"/>
      <c r="X12" s="5"/>
      <c r="Y12" s="5"/>
    </row>
    <row r="13" spans="2:26" s="8" customFormat="1" ht="14.25">
      <c r="B13" s="2" t="s">
        <v>25</v>
      </c>
      <c r="C13" s="5"/>
      <c r="D13" s="3" t="str">
        <f>'Sched 3. Tech Params &amp; Contacts'!$B10</f>
        <v>Davy Vanwetswinkel</v>
      </c>
      <c r="E13" s="4"/>
      <c r="F13" s="5"/>
      <c r="G13" s="5"/>
      <c r="H13" s="5"/>
      <c r="I13" s="5"/>
      <c r="J13" s="6" t="s">
        <v>119</v>
      </c>
      <c r="K13" s="212">
        <v>45251</v>
      </c>
      <c r="L13" s="212"/>
      <c r="M13" s="212"/>
      <c r="N13" s="212"/>
      <c r="O13" s="65"/>
      <c r="P13" s="59"/>
      <c r="Q13" s="59"/>
      <c r="R13" s="59"/>
      <c r="S13" s="59"/>
      <c r="T13" s="59"/>
      <c r="U13" s="59"/>
      <c r="V13" s="59"/>
      <c r="W13" s="5"/>
      <c r="X13" s="5"/>
      <c r="Y13" s="5"/>
    </row>
    <row r="14" spans="2:26">
      <c r="B14" s="213" t="str">
        <f>'Sched 3. Tech Params &amp; Contacts'!A11</f>
        <v>The schedule have to be signed and sent back by post mail to: BNP PARIBAS  - Domaine EBALD - ACI : CME05B1 - Valmy 2 - 33 – 41 Rue de Valmy - 93 100 MONTREUIL - France</v>
      </c>
      <c r="C14" s="213"/>
      <c r="D14" s="213"/>
      <c r="E14" s="213"/>
      <c r="F14" s="213"/>
      <c r="G14" s="213"/>
      <c r="H14" s="213"/>
      <c r="I14" s="213"/>
      <c r="J14" s="213"/>
      <c r="K14" s="213"/>
      <c r="L14" s="213"/>
      <c r="M14" s="213"/>
      <c r="N14" s="213"/>
      <c r="O14" s="213"/>
      <c r="P14" s="213"/>
      <c r="Q14" s="213"/>
      <c r="R14" s="213"/>
      <c r="S14" s="213"/>
      <c r="T14" s="213"/>
      <c r="U14" s="213"/>
      <c r="V14" s="213"/>
      <c r="W14" s="213"/>
      <c r="X14" s="213"/>
      <c r="Y14" s="213"/>
    </row>
    <row r="15" spans="2:26">
      <c r="B15" s="66"/>
      <c r="C15" s="66"/>
      <c r="D15" s="66"/>
      <c r="E15" s="66"/>
      <c r="F15" s="66"/>
      <c r="G15" s="66"/>
      <c r="H15" s="66"/>
      <c r="I15" s="66"/>
      <c r="J15" s="66"/>
      <c r="K15" s="66"/>
      <c r="L15" s="66"/>
      <c r="M15" s="66"/>
      <c r="N15" s="66"/>
      <c r="O15" s="66"/>
      <c r="P15" s="66"/>
      <c r="Q15" s="66"/>
      <c r="R15" s="66"/>
      <c r="S15" s="66"/>
      <c r="T15" s="66"/>
      <c r="U15" s="66"/>
      <c r="V15" s="66"/>
      <c r="W15" s="66"/>
      <c r="X15" s="66"/>
      <c r="Y15" s="66"/>
    </row>
    <row r="16" spans="2:26" s="1" customFormat="1" ht="16.149999999999999" customHeight="1" thickBot="1">
      <c r="B16" s="15" t="s">
        <v>29</v>
      </c>
      <c r="C16" s="16"/>
      <c r="D16" s="17"/>
      <c r="E16" s="18"/>
      <c r="F16" s="18"/>
      <c r="G16" s="18"/>
      <c r="H16" s="67"/>
      <c r="J16" s="67"/>
      <c r="K16" s="214" t="s">
        <v>120</v>
      </c>
      <c r="L16" s="215"/>
      <c r="M16" s="215"/>
      <c r="N16" s="69"/>
      <c r="O16" s="68" t="s">
        <v>121</v>
      </c>
      <c r="P16" s="70"/>
      <c r="Q16" s="68" t="s">
        <v>122</v>
      </c>
      <c r="R16" s="70"/>
      <c r="S16" s="214" t="s">
        <v>123</v>
      </c>
      <c r="T16" s="215"/>
      <c r="U16" s="215"/>
      <c r="V16" s="215"/>
      <c r="W16" s="215"/>
      <c r="X16" s="71"/>
      <c r="Y16" s="71"/>
    </row>
    <row r="17" spans="1:25" s="1" customFormat="1" ht="16.149999999999999" customHeight="1">
      <c r="B17" s="72" t="str">
        <f>'Sched 3. Tech Params &amp; Contacts'!A13</f>
        <v>Title First name &amp; Last name</v>
      </c>
      <c r="C17" s="73"/>
      <c r="E17" s="74" t="str">
        <f>'Sched 3. Tech Params &amp; Contacts'!B13</f>
        <v>[Signatory 1]</v>
      </c>
      <c r="F17" s="73"/>
      <c r="G17" s="75"/>
      <c r="J17" s="76" t="s">
        <v>124</v>
      </c>
      <c r="K17" s="77" t="s">
        <v>125</v>
      </c>
      <c r="L17" s="77" t="s">
        <v>126</v>
      </c>
      <c r="M17" s="77" t="s">
        <v>127</v>
      </c>
      <c r="N17" s="78"/>
      <c r="O17" s="77" t="s">
        <v>128</v>
      </c>
      <c r="P17" s="79"/>
      <c r="Q17" s="77" t="s">
        <v>129</v>
      </c>
      <c r="R17" s="79"/>
      <c r="S17" s="216" t="s">
        <v>130</v>
      </c>
      <c r="T17" s="217"/>
      <c r="U17" s="217"/>
      <c r="V17" s="217"/>
      <c r="W17" s="218"/>
      <c r="X17" s="79"/>
      <c r="Y17" s="80"/>
    </row>
    <row r="18" spans="1:25" s="1" customFormat="1" ht="16.149999999999999" customHeight="1">
      <c r="B18" s="72" t="str">
        <f>'Sched 3. Tech Params &amp; Contacts'!A14</f>
        <v>Function</v>
      </c>
      <c r="C18" s="73"/>
      <c r="E18" s="73" t="str">
        <f>'Sched 3. Tech Params &amp; Contacts'!B14</f>
        <v>Function Signatory 1</v>
      </c>
      <c r="F18" s="73"/>
      <c r="G18" s="75"/>
      <c r="K18" s="207" t="s">
        <v>131</v>
      </c>
      <c r="L18" s="207" t="s">
        <v>132</v>
      </c>
      <c r="M18" s="207" t="s">
        <v>133</v>
      </c>
      <c r="N18" s="81"/>
      <c r="O18" s="207" t="s">
        <v>134</v>
      </c>
      <c r="P18" s="82"/>
      <c r="Q18" s="207" t="s">
        <v>135</v>
      </c>
      <c r="R18" s="82"/>
      <c r="S18" s="207" t="s">
        <v>136</v>
      </c>
      <c r="T18" s="207" t="s">
        <v>137</v>
      </c>
      <c r="U18" s="207" t="s">
        <v>138</v>
      </c>
      <c r="V18" s="207" t="s">
        <v>139</v>
      </c>
      <c r="W18" s="207" t="s">
        <v>140</v>
      </c>
      <c r="X18" s="82"/>
      <c r="Y18" s="83"/>
    </row>
    <row r="19" spans="1:25" s="1" customFormat="1" ht="16.149999999999999" customHeight="1">
      <c r="B19" s="72"/>
      <c r="C19" s="73"/>
      <c r="E19" s="74"/>
      <c r="F19" s="73"/>
      <c r="G19" s="75"/>
      <c r="I19" s="84"/>
      <c r="J19" s="84"/>
      <c r="K19" s="208"/>
      <c r="L19" s="208"/>
      <c r="M19" s="208"/>
      <c r="N19" s="81"/>
      <c r="O19" s="208"/>
      <c r="P19" s="82"/>
      <c r="Q19" s="208"/>
      <c r="R19" s="82"/>
      <c r="S19" s="208"/>
      <c r="T19" s="208"/>
      <c r="U19" s="208"/>
      <c r="V19" s="208"/>
      <c r="W19" s="208"/>
      <c r="X19" s="82"/>
      <c r="Y19" s="83"/>
    </row>
    <row r="20" spans="1:25" s="1" customFormat="1" ht="16.149999999999999" customHeight="1">
      <c r="B20" s="72"/>
      <c r="C20" s="73"/>
      <c r="E20" s="74"/>
      <c r="F20" s="73"/>
      <c r="G20" s="75"/>
      <c r="I20" s="84"/>
      <c r="J20" s="84"/>
      <c r="K20" s="208"/>
      <c r="L20" s="208"/>
      <c r="M20" s="208"/>
      <c r="N20" s="81"/>
      <c r="O20" s="208"/>
      <c r="P20" s="82"/>
      <c r="Q20" s="208"/>
      <c r="R20" s="82"/>
      <c r="S20" s="208"/>
      <c r="T20" s="208"/>
      <c r="U20" s="208"/>
      <c r="V20" s="208"/>
      <c r="W20" s="208"/>
      <c r="X20" s="82"/>
      <c r="Y20" s="83"/>
    </row>
    <row r="21" spans="1:25" s="1" customFormat="1" ht="16.149999999999999" customHeight="1">
      <c r="B21" s="72" t="str">
        <f>'Sched 3. Tech Params &amp; Contacts'!A17</f>
        <v>Signature</v>
      </c>
      <c r="C21" s="73"/>
      <c r="E21" s="85" t="str">
        <f>'Sched 3. Tech Params &amp; Contacts'!B17</f>
        <v>________________________________________</v>
      </c>
      <c r="F21" s="73"/>
      <c r="G21" s="75"/>
      <c r="I21" s="84"/>
      <c r="J21" s="84"/>
      <c r="K21" s="208"/>
      <c r="L21" s="208"/>
      <c r="M21" s="208"/>
      <c r="N21" s="81"/>
      <c r="O21" s="208"/>
      <c r="P21" s="82"/>
      <c r="Q21" s="208"/>
      <c r="R21" s="82"/>
      <c r="S21" s="208"/>
      <c r="T21" s="208"/>
      <c r="U21" s="208"/>
      <c r="V21" s="208"/>
      <c r="W21" s="208"/>
      <c r="X21" s="82"/>
      <c r="Y21" s="83"/>
    </row>
    <row r="22" spans="1:25" s="1" customFormat="1" ht="15.75" customHeight="1">
      <c r="B22" s="72"/>
      <c r="C22" s="73"/>
      <c r="E22" s="74"/>
      <c r="F22" s="73"/>
      <c r="G22" s="75"/>
      <c r="I22" s="84"/>
      <c r="J22" s="84"/>
      <c r="K22" s="208"/>
      <c r="L22" s="208"/>
      <c r="M22" s="208"/>
      <c r="N22" s="81"/>
      <c r="O22" s="208"/>
      <c r="P22" s="82"/>
      <c r="Q22" s="208"/>
      <c r="R22" s="82"/>
      <c r="S22" s="208"/>
      <c r="T22" s="208"/>
      <c r="U22" s="208"/>
      <c r="V22" s="208"/>
      <c r="W22" s="208"/>
      <c r="X22" s="82"/>
      <c r="Y22" s="83"/>
    </row>
    <row r="23" spans="1:25" s="1" customFormat="1" ht="15.75" customHeight="1">
      <c r="B23" s="72"/>
      <c r="C23" s="73"/>
      <c r="E23" s="74"/>
      <c r="F23" s="73"/>
      <c r="G23" s="75"/>
      <c r="I23" s="84"/>
      <c r="J23" s="76" t="s">
        <v>141</v>
      </c>
      <c r="K23" s="208"/>
      <c r="L23" s="208"/>
      <c r="M23" s="208"/>
      <c r="N23" s="81"/>
      <c r="O23" s="208"/>
      <c r="P23" s="82"/>
      <c r="Q23" s="208"/>
      <c r="R23" s="82"/>
      <c r="S23" s="208"/>
      <c r="T23" s="208"/>
      <c r="U23" s="208"/>
      <c r="V23" s="208"/>
      <c r="W23" s="208"/>
      <c r="X23" s="82"/>
      <c r="Y23" s="83"/>
    </row>
    <row r="24" spans="1:25" s="1" customFormat="1" ht="16.149999999999999" customHeight="1">
      <c r="B24" s="72" t="str">
        <f>'Sched 3. Tech Params &amp; Contacts'!D13</f>
        <v>Title First name &amp; Last name</v>
      </c>
      <c r="C24" s="73"/>
      <c r="E24" s="74" t="str">
        <f>'Sched 3. Tech Params &amp; Contacts'!E13</f>
        <v>[Signatory 2 if required]</v>
      </c>
      <c r="F24" s="73"/>
      <c r="G24" s="75"/>
      <c r="I24" s="84"/>
      <c r="J24" s="84"/>
      <c r="K24" s="208"/>
      <c r="L24" s="208"/>
      <c r="M24" s="208"/>
      <c r="N24" s="81"/>
      <c r="O24" s="208"/>
      <c r="P24" s="82"/>
      <c r="Q24" s="208"/>
      <c r="R24" s="82"/>
      <c r="S24" s="208"/>
      <c r="T24" s="208"/>
      <c r="U24" s="208"/>
      <c r="V24" s="208"/>
      <c r="W24" s="208"/>
      <c r="X24" s="82"/>
      <c r="Y24" s="83"/>
    </row>
    <row r="25" spans="1:25" ht="16.149999999999999" customHeight="1">
      <c r="A25" s="1"/>
      <c r="B25" s="72" t="str">
        <f>'Sched 3. Tech Params &amp; Contacts'!D14</f>
        <v>Function</v>
      </c>
      <c r="C25" s="73"/>
      <c r="E25" s="73" t="str">
        <f>'Sched 3. Tech Params &amp; Contacts'!E14</f>
        <v>Function Signatory 2</v>
      </c>
      <c r="F25" s="73"/>
      <c r="G25" s="75"/>
      <c r="H25" s="1"/>
      <c r="I25" s="84"/>
      <c r="J25" s="84"/>
      <c r="K25" s="208"/>
      <c r="L25" s="208"/>
      <c r="M25" s="208"/>
      <c r="N25" s="86"/>
      <c r="O25" s="208"/>
      <c r="P25" s="82"/>
      <c r="Q25" s="208"/>
      <c r="R25" s="82"/>
      <c r="S25" s="208"/>
      <c r="T25" s="208"/>
      <c r="U25" s="208"/>
      <c r="V25" s="208"/>
      <c r="W25" s="208"/>
      <c r="X25" s="82"/>
      <c r="Y25" s="83"/>
    </row>
    <row r="26" spans="1:25" ht="16.149999999999999" customHeight="1">
      <c r="A26" s="1"/>
      <c r="B26" s="72"/>
      <c r="C26" s="72"/>
      <c r="D26" s="74"/>
      <c r="E26" s="1"/>
      <c r="F26" s="73"/>
      <c r="G26" s="75"/>
      <c r="H26" s="1"/>
      <c r="I26" s="84"/>
      <c r="J26" s="84"/>
      <c r="K26" s="208"/>
      <c r="L26" s="208"/>
      <c r="M26" s="208"/>
      <c r="N26" s="86"/>
      <c r="O26" s="208"/>
      <c r="P26" s="82"/>
      <c r="Q26" s="208"/>
      <c r="R26" s="82"/>
      <c r="S26" s="208"/>
      <c r="T26" s="208"/>
      <c r="U26" s="208"/>
      <c r="V26" s="208"/>
      <c r="W26" s="208"/>
      <c r="X26" s="82"/>
      <c r="Y26" s="83"/>
    </row>
    <row r="27" spans="1:25" ht="16.149999999999999" customHeight="1">
      <c r="A27" s="1"/>
      <c r="B27" s="72"/>
      <c r="C27" s="87"/>
      <c r="D27" s="1"/>
      <c r="E27" s="1"/>
      <c r="F27" s="88"/>
      <c r="G27" s="89"/>
      <c r="H27" s="1"/>
      <c r="I27" s="84"/>
      <c r="J27" s="84"/>
      <c r="K27" s="208"/>
      <c r="L27" s="208"/>
      <c r="M27" s="208"/>
      <c r="N27" s="86"/>
      <c r="O27" s="208"/>
      <c r="P27" s="82"/>
      <c r="Q27" s="208"/>
      <c r="R27" s="82"/>
      <c r="S27" s="208"/>
      <c r="T27" s="208"/>
      <c r="U27" s="208"/>
      <c r="V27" s="208"/>
      <c r="W27" s="208"/>
      <c r="X27" s="82"/>
      <c r="Y27" s="83"/>
    </row>
    <row r="28" spans="1:25" ht="16.149999999999999" customHeight="1">
      <c r="A28" s="1"/>
      <c r="B28" s="72" t="str">
        <f>'Sched 3. Tech Params &amp; Contacts'!D17</f>
        <v>Signature</v>
      </c>
      <c r="C28" s="73"/>
      <c r="D28" s="1"/>
      <c r="E28" s="85" t="str">
        <f>'Sched 3. Tech Params &amp; Contacts'!E17</f>
        <v>________________________________________</v>
      </c>
      <c r="F28" s="84"/>
      <c r="G28" s="84"/>
      <c r="H28" s="1"/>
      <c r="I28" s="84"/>
      <c r="J28" s="84"/>
      <c r="K28" s="208"/>
      <c r="L28" s="208"/>
      <c r="M28" s="208"/>
      <c r="N28" s="86"/>
      <c r="O28" s="208"/>
      <c r="P28" s="82"/>
      <c r="Q28" s="208"/>
      <c r="R28" s="82"/>
      <c r="S28" s="208"/>
      <c r="T28" s="208"/>
      <c r="U28" s="208"/>
      <c r="V28" s="208"/>
      <c r="W28" s="208"/>
      <c r="X28" s="82"/>
      <c r="Y28" s="83"/>
    </row>
    <row r="29" spans="1:25" ht="16.149999999999999" customHeight="1">
      <c r="A29" s="1"/>
      <c r="B29" s="210"/>
      <c r="C29" s="210"/>
      <c r="D29" s="90"/>
      <c r="E29" s="84"/>
      <c r="F29" s="84"/>
      <c r="G29" s="84"/>
      <c r="H29" s="1"/>
      <c r="I29" s="84"/>
      <c r="J29" s="84"/>
      <c r="K29" s="209"/>
      <c r="L29" s="209"/>
      <c r="M29" s="209"/>
      <c r="N29" s="86"/>
      <c r="O29" s="209"/>
      <c r="P29" s="82"/>
      <c r="Q29" s="209"/>
      <c r="R29" s="82"/>
      <c r="S29" s="209"/>
      <c r="T29" s="209"/>
      <c r="U29" s="209"/>
      <c r="V29" s="209"/>
      <c r="W29" s="209"/>
      <c r="X29" s="82"/>
      <c r="Y29" s="83"/>
    </row>
    <row r="30" spans="1:25" ht="37.9" customHeight="1">
      <c r="A30" s="1"/>
      <c r="B30" s="91"/>
      <c r="C30" s="91"/>
      <c r="D30" s="84"/>
      <c r="E30" s="84"/>
      <c r="F30" s="84"/>
      <c r="G30" s="84"/>
      <c r="H30" s="1"/>
      <c r="I30" s="84"/>
      <c r="J30" s="76" t="s">
        <v>142</v>
      </c>
      <c r="K30" s="92" t="s">
        <v>143</v>
      </c>
      <c r="L30" s="92"/>
      <c r="M30" s="92"/>
      <c r="N30" s="93"/>
      <c r="O30" s="92" t="s">
        <v>144</v>
      </c>
      <c r="P30" s="94"/>
      <c r="Q30" s="92" t="s">
        <v>144</v>
      </c>
      <c r="R30" s="94"/>
      <c r="S30" s="92" t="s">
        <v>144</v>
      </c>
      <c r="T30" s="92" t="s">
        <v>144</v>
      </c>
      <c r="U30" s="92" t="s">
        <v>144</v>
      </c>
      <c r="V30" s="92" t="s">
        <v>144</v>
      </c>
      <c r="W30" s="92" t="s">
        <v>144</v>
      </c>
      <c r="X30" s="1"/>
      <c r="Y30" s="83"/>
    </row>
    <row r="31" spans="1:25" s="8" customFormat="1" ht="31.5">
      <c r="A31" s="95"/>
      <c r="B31" s="96" t="s">
        <v>145</v>
      </c>
      <c r="C31" s="96" t="s">
        <v>146</v>
      </c>
      <c r="D31" s="96" t="s">
        <v>147</v>
      </c>
      <c r="E31" s="96" t="s">
        <v>148</v>
      </c>
      <c r="F31" s="96" t="s">
        <v>112</v>
      </c>
      <c r="G31" s="96" t="s">
        <v>149</v>
      </c>
      <c r="H31" s="96" t="s">
        <v>150</v>
      </c>
      <c r="I31" s="96" t="s">
        <v>151</v>
      </c>
      <c r="J31" s="96" t="s">
        <v>152</v>
      </c>
      <c r="K31" s="97" t="s">
        <v>125</v>
      </c>
      <c r="L31" s="97" t="s">
        <v>126</v>
      </c>
      <c r="M31" s="97" t="s">
        <v>126</v>
      </c>
      <c r="N31" s="98"/>
      <c r="O31" s="97" t="s">
        <v>128</v>
      </c>
      <c r="P31" s="99"/>
      <c r="Q31" s="97" t="s">
        <v>129</v>
      </c>
      <c r="R31" s="100"/>
      <c r="S31" s="101"/>
      <c r="T31" s="101"/>
      <c r="U31" s="101"/>
      <c r="V31" s="101"/>
      <c r="W31" s="101"/>
      <c r="X31" s="96" t="s">
        <v>153</v>
      </c>
      <c r="Y31" s="102"/>
    </row>
    <row r="32" spans="1:25" s="1" customFormat="1" ht="22.5" customHeight="1">
      <c r="B32" s="103" t="s">
        <v>154</v>
      </c>
      <c r="C32" s="103" t="s">
        <v>155</v>
      </c>
      <c r="D32" s="103" t="s">
        <v>156</v>
      </c>
      <c r="E32" s="104" t="s">
        <v>157</v>
      </c>
      <c r="F32" s="103" t="s">
        <v>158</v>
      </c>
      <c r="G32" s="103" t="s">
        <v>159</v>
      </c>
      <c r="H32" s="103" t="s">
        <v>160</v>
      </c>
      <c r="I32" s="103" t="s">
        <v>161</v>
      </c>
      <c r="J32" s="103" t="s">
        <v>162</v>
      </c>
      <c r="K32" s="105"/>
      <c r="L32" s="105"/>
      <c r="M32" s="105"/>
      <c r="N32" s="106"/>
      <c r="O32" s="105"/>
      <c r="P32" s="82"/>
      <c r="Q32" s="105"/>
      <c r="R32" s="107"/>
      <c r="S32" s="103" t="s">
        <v>163</v>
      </c>
      <c r="T32" s="103" t="s">
        <v>163</v>
      </c>
      <c r="U32" s="103" t="s">
        <v>163</v>
      </c>
      <c r="V32" s="103" t="s">
        <v>163</v>
      </c>
      <c r="W32" s="103" t="s">
        <v>163</v>
      </c>
      <c r="X32" s="103" t="s">
        <v>164</v>
      </c>
      <c r="Y32" s="82"/>
    </row>
    <row r="33" spans="2:25" s="1" customFormat="1" ht="22.5" customHeight="1">
      <c r="B33" s="103" t="s">
        <v>154</v>
      </c>
      <c r="C33" s="103" t="s">
        <v>155</v>
      </c>
      <c r="D33" s="103" t="s">
        <v>156</v>
      </c>
      <c r="E33" s="104" t="s">
        <v>157</v>
      </c>
      <c r="F33" s="103" t="s">
        <v>158</v>
      </c>
      <c r="G33" s="103" t="s">
        <v>159</v>
      </c>
      <c r="H33" s="103" t="s">
        <v>160</v>
      </c>
      <c r="I33" s="103" t="s">
        <v>165</v>
      </c>
      <c r="J33" s="103" t="s">
        <v>166</v>
      </c>
      <c r="K33" s="105"/>
      <c r="L33" s="105"/>
      <c r="M33" s="105"/>
      <c r="N33" s="106"/>
      <c r="O33" s="105"/>
      <c r="P33" s="82"/>
      <c r="Q33" s="105"/>
      <c r="R33" s="107"/>
      <c r="S33" s="103" t="s">
        <v>163</v>
      </c>
      <c r="T33" s="103" t="s">
        <v>163</v>
      </c>
      <c r="U33" s="103" t="s">
        <v>163</v>
      </c>
      <c r="V33" s="103" t="s">
        <v>163</v>
      </c>
      <c r="W33" s="103" t="s">
        <v>163</v>
      </c>
      <c r="X33" s="103" t="s">
        <v>164</v>
      </c>
      <c r="Y33" s="82"/>
    </row>
    <row r="34" spans="2:25" s="1" customFormat="1" ht="22.5" customHeight="1">
      <c r="B34" s="103" t="s">
        <v>154</v>
      </c>
      <c r="C34" s="103" t="s">
        <v>155</v>
      </c>
      <c r="D34" s="103" t="s">
        <v>156</v>
      </c>
      <c r="E34" s="104" t="s">
        <v>157</v>
      </c>
      <c r="F34" s="103" t="s">
        <v>158</v>
      </c>
      <c r="G34" s="103" t="s">
        <v>159</v>
      </c>
      <c r="H34" s="103" t="s">
        <v>160</v>
      </c>
      <c r="I34" s="103" t="s">
        <v>165</v>
      </c>
      <c r="J34" s="103" t="s">
        <v>167</v>
      </c>
      <c r="K34" s="105"/>
      <c r="L34" s="105"/>
      <c r="M34" s="105"/>
      <c r="N34" s="106"/>
      <c r="O34" s="105"/>
      <c r="P34" s="82"/>
      <c r="Q34" s="105"/>
      <c r="R34" s="107"/>
      <c r="S34" s="103" t="s">
        <v>163</v>
      </c>
      <c r="T34" s="103" t="s">
        <v>163</v>
      </c>
      <c r="U34" s="103" t="s">
        <v>163</v>
      </c>
      <c r="V34" s="103" t="s">
        <v>163</v>
      </c>
      <c r="W34" s="103" t="s">
        <v>163</v>
      </c>
      <c r="X34" s="103" t="s">
        <v>164</v>
      </c>
      <c r="Y34" s="82"/>
    </row>
    <row r="35" spans="2:25" s="1" customFormat="1" ht="22.5" customHeight="1">
      <c r="B35" s="108" t="s">
        <v>154</v>
      </c>
      <c r="C35" s="108" t="s">
        <v>155</v>
      </c>
      <c r="D35" s="108" t="s">
        <v>168</v>
      </c>
      <c r="E35" s="109" t="s">
        <v>169</v>
      </c>
      <c r="F35" s="108" t="s">
        <v>170</v>
      </c>
      <c r="G35" s="108" t="s">
        <v>159</v>
      </c>
      <c r="H35" s="108" t="s">
        <v>160</v>
      </c>
      <c r="I35" s="108" t="s">
        <v>161</v>
      </c>
      <c r="J35" s="108" t="s">
        <v>171</v>
      </c>
      <c r="K35" s="110"/>
      <c r="L35" s="110"/>
      <c r="M35" s="110"/>
      <c r="N35" s="106"/>
      <c r="O35" s="110"/>
      <c r="P35" s="82"/>
      <c r="Q35" s="110"/>
      <c r="R35" s="107"/>
      <c r="S35" s="108" t="s">
        <v>163</v>
      </c>
      <c r="T35" s="108" t="s">
        <v>163</v>
      </c>
      <c r="U35" s="108" t="s">
        <v>163</v>
      </c>
      <c r="V35" s="108" t="s">
        <v>163</v>
      </c>
      <c r="W35" s="108" t="s">
        <v>163</v>
      </c>
      <c r="X35" s="108" t="s">
        <v>164</v>
      </c>
    </row>
    <row r="36" spans="2:25" s="1" customFormat="1" ht="22.5" customHeight="1">
      <c r="B36" s="111" t="s">
        <v>154</v>
      </c>
      <c r="C36" s="111" t="s">
        <v>155</v>
      </c>
      <c r="D36" s="111" t="s">
        <v>168</v>
      </c>
      <c r="E36" s="112" t="s">
        <v>169</v>
      </c>
      <c r="F36" s="111" t="s">
        <v>170</v>
      </c>
      <c r="G36" s="111" t="s">
        <v>159</v>
      </c>
      <c r="H36" s="111" t="s">
        <v>172</v>
      </c>
      <c r="I36" s="111" t="s">
        <v>173</v>
      </c>
      <c r="J36" s="111" t="s">
        <v>174</v>
      </c>
      <c r="K36" s="113"/>
      <c r="L36" s="113"/>
      <c r="M36" s="113"/>
      <c r="N36" s="106"/>
      <c r="O36" s="113"/>
      <c r="P36" s="82"/>
      <c r="Q36" s="113"/>
      <c r="R36" s="107"/>
      <c r="S36" s="111" t="s">
        <v>163</v>
      </c>
      <c r="T36" s="111" t="s">
        <v>163</v>
      </c>
      <c r="U36" s="111" t="s">
        <v>163</v>
      </c>
      <c r="V36" s="111" t="s">
        <v>163</v>
      </c>
      <c r="W36" s="111" t="s">
        <v>163</v>
      </c>
      <c r="X36" s="111" t="s">
        <v>164</v>
      </c>
    </row>
    <row r="37" spans="2:25" s="1" customFormat="1" ht="22.5" customHeight="1">
      <c r="B37" s="111" t="s">
        <v>154</v>
      </c>
      <c r="C37" s="111" t="s">
        <v>155</v>
      </c>
      <c r="D37" s="111" t="s">
        <v>168</v>
      </c>
      <c r="E37" s="112" t="s">
        <v>169</v>
      </c>
      <c r="F37" s="111" t="s">
        <v>170</v>
      </c>
      <c r="G37" s="111" t="s">
        <v>159</v>
      </c>
      <c r="H37" s="111" t="s">
        <v>160</v>
      </c>
      <c r="I37" s="111" t="s">
        <v>165</v>
      </c>
      <c r="J37" s="111" t="s">
        <v>175</v>
      </c>
      <c r="K37" s="113"/>
      <c r="L37" s="113"/>
      <c r="M37" s="113"/>
      <c r="N37" s="106"/>
      <c r="O37" s="113"/>
      <c r="P37" s="82"/>
      <c r="Q37" s="113"/>
      <c r="R37" s="107"/>
      <c r="S37" s="111" t="s">
        <v>163</v>
      </c>
      <c r="T37" s="111" t="s">
        <v>163</v>
      </c>
      <c r="U37" s="111" t="s">
        <v>163</v>
      </c>
      <c r="V37" s="111" t="s">
        <v>163</v>
      </c>
      <c r="W37" s="111" t="s">
        <v>163</v>
      </c>
      <c r="X37" s="111" t="s">
        <v>164</v>
      </c>
    </row>
    <row r="38" spans="2:25" s="1" customFormat="1" ht="22.5" customHeight="1">
      <c r="B38" s="111" t="s">
        <v>154</v>
      </c>
      <c r="C38" s="111" t="s">
        <v>155</v>
      </c>
      <c r="D38" s="111" t="s">
        <v>168</v>
      </c>
      <c r="E38" s="112" t="s">
        <v>169</v>
      </c>
      <c r="F38" s="111" t="s">
        <v>170</v>
      </c>
      <c r="G38" s="111" t="s">
        <v>159</v>
      </c>
      <c r="H38" s="111" t="s">
        <v>172</v>
      </c>
      <c r="I38" s="111" t="s">
        <v>165</v>
      </c>
      <c r="J38" s="111" t="s">
        <v>175</v>
      </c>
      <c r="K38" s="113"/>
      <c r="L38" s="113"/>
      <c r="M38" s="113"/>
      <c r="N38" s="106"/>
      <c r="O38" s="113"/>
      <c r="P38" s="82"/>
      <c r="Q38" s="113"/>
      <c r="R38" s="107"/>
      <c r="S38" s="111" t="s">
        <v>163</v>
      </c>
      <c r="T38" s="111" t="s">
        <v>163</v>
      </c>
      <c r="U38" s="111" t="s">
        <v>163</v>
      </c>
      <c r="V38" s="111" t="s">
        <v>163</v>
      </c>
      <c r="W38" s="111" t="s">
        <v>163</v>
      </c>
      <c r="X38" s="111" t="s">
        <v>164</v>
      </c>
    </row>
    <row r="39" spans="2:25" s="1" customFormat="1" ht="22.5" customHeight="1">
      <c r="B39" s="111" t="s">
        <v>154</v>
      </c>
      <c r="C39" s="111" t="s">
        <v>155</v>
      </c>
      <c r="D39" s="111" t="s">
        <v>168</v>
      </c>
      <c r="E39" s="112" t="s">
        <v>169</v>
      </c>
      <c r="F39" s="111" t="s">
        <v>170</v>
      </c>
      <c r="G39" s="111" t="s">
        <v>159</v>
      </c>
      <c r="H39" s="111" t="s">
        <v>160</v>
      </c>
      <c r="I39" s="111" t="s">
        <v>165</v>
      </c>
      <c r="J39" s="111" t="s">
        <v>176</v>
      </c>
      <c r="K39" s="113"/>
      <c r="L39" s="113"/>
      <c r="M39" s="113"/>
      <c r="N39" s="106"/>
      <c r="O39" s="113"/>
      <c r="P39" s="82"/>
      <c r="Q39" s="113"/>
      <c r="R39" s="107"/>
      <c r="S39" s="111" t="s">
        <v>163</v>
      </c>
      <c r="T39" s="111" t="s">
        <v>163</v>
      </c>
      <c r="U39" s="111" t="s">
        <v>163</v>
      </c>
      <c r="V39" s="111" t="s">
        <v>163</v>
      </c>
      <c r="W39" s="111" t="s">
        <v>163</v>
      </c>
      <c r="X39" s="111" t="s">
        <v>164</v>
      </c>
    </row>
    <row r="40" spans="2:25" s="1" customFormat="1" ht="22.5" customHeight="1">
      <c r="B40" s="103" t="s">
        <v>154</v>
      </c>
      <c r="C40" s="103" t="s">
        <v>155</v>
      </c>
      <c r="D40" s="103" t="s">
        <v>156</v>
      </c>
      <c r="E40" s="104" t="s">
        <v>6</v>
      </c>
      <c r="F40" s="103" t="s">
        <v>12</v>
      </c>
      <c r="G40" s="103" t="s">
        <v>177</v>
      </c>
      <c r="H40" s="103" t="s">
        <v>160</v>
      </c>
      <c r="I40" s="103" t="s">
        <v>161</v>
      </c>
      <c r="J40" s="103" t="s">
        <v>178</v>
      </c>
      <c r="K40" s="105"/>
      <c r="L40" s="105"/>
      <c r="M40" s="105"/>
      <c r="N40" s="106"/>
      <c r="O40" s="105"/>
      <c r="P40" s="82"/>
      <c r="Q40" s="105"/>
      <c r="R40" s="107"/>
      <c r="S40" s="103" t="s">
        <v>163</v>
      </c>
      <c r="T40" s="103" t="s">
        <v>163</v>
      </c>
      <c r="U40" s="103" t="s">
        <v>163</v>
      </c>
      <c r="V40" s="103" t="s">
        <v>163</v>
      </c>
      <c r="W40" s="103" t="s">
        <v>163</v>
      </c>
      <c r="X40" s="103" t="s">
        <v>164</v>
      </c>
      <c r="Y40" s="82"/>
    </row>
    <row r="41" spans="2:25" s="1" customFormat="1" ht="22.5" customHeight="1">
      <c r="B41" s="103" t="s">
        <v>154</v>
      </c>
      <c r="C41" s="103" t="s">
        <v>155</v>
      </c>
      <c r="D41" s="103" t="s">
        <v>156</v>
      </c>
      <c r="E41" s="104" t="s">
        <v>6</v>
      </c>
      <c r="F41" s="103" t="s">
        <v>12</v>
      </c>
      <c r="G41" s="103" t="s">
        <v>177</v>
      </c>
      <c r="H41" s="103" t="s">
        <v>160</v>
      </c>
      <c r="I41" s="103" t="s">
        <v>165</v>
      </c>
      <c r="J41" s="103" t="s">
        <v>179</v>
      </c>
      <c r="K41" s="105"/>
      <c r="L41" s="105"/>
      <c r="M41" s="105"/>
      <c r="N41" s="106"/>
      <c r="O41" s="105"/>
      <c r="P41" s="82"/>
      <c r="Q41" s="105"/>
      <c r="R41" s="107"/>
      <c r="S41" s="103" t="s">
        <v>163</v>
      </c>
      <c r="T41" s="103" t="s">
        <v>163</v>
      </c>
      <c r="U41" s="103" t="s">
        <v>163</v>
      </c>
      <c r="V41" s="103" t="s">
        <v>163</v>
      </c>
      <c r="W41" s="103" t="s">
        <v>163</v>
      </c>
      <c r="X41" s="103" t="s">
        <v>164</v>
      </c>
      <c r="Y41" s="82"/>
    </row>
    <row r="42" spans="2:25" s="1" customFormat="1" ht="22.5" customHeight="1">
      <c r="B42" s="103" t="s">
        <v>154</v>
      </c>
      <c r="C42" s="103" t="s">
        <v>155</v>
      </c>
      <c r="D42" s="103" t="s">
        <v>156</v>
      </c>
      <c r="E42" s="104" t="s">
        <v>6</v>
      </c>
      <c r="F42" s="103" t="s">
        <v>12</v>
      </c>
      <c r="G42" s="103" t="s">
        <v>177</v>
      </c>
      <c r="H42" s="103" t="s">
        <v>160</v>
      </c>
      <c r="I42" s="103" t="s">
        <v>165</v>
      </c>
      <c r="J42" s="103" t="s">
        <v>180</v>
      </c>
      <c r="K42" s="105"/>
      <c r="L42" s="105"/>
      <c r="M42" s="105"/>
      <c r="N42" s="106"/>
      <c r="O42" s="105"/>
      <c r="P42" s="82"/>
      <c r="Q42" s="105"/>
      <c r="R42" s="107"/>
      <c r="S42" s="103" t="s">
        <v>163</v>
      </c>
      <c r="T42" s="103" t="s">
        <v>163</v>
      </c>
      <c r="U42" s="103" t="s">
        <v>163</v>
      </c>
      <c r="V42" s="103" t="s">
        <v>163</v>
      </c>
      <c r="W42" s="103" t="s">
        <v>163</v>
      </c>
      <c r="X42" s="103" t="s">
        <v>164</v>
      </c>
      <c r="Y42" s="82"/>
    </row>
    <row r="43" spans="2:25" s="1" customFormat="1" ht="22.5" customHeight="1">
      <c r="B43" s="103" t="s">
        <v>154</v>
      </c>
      <c r="C43" s="103" t="s">
        <v>155</v>
      </c>
      <c r="D43" s="103" t="s">
        <v>156</v>
      </c>
      <c r="E43" s="104" t="s">
        <v>6</v>
      </c>
      <c r="F43" s="103" t="s">
        <v>12</v>
      </c>
      <c r="G43" s="103" t="s">
        <v>177</v>
      </c>
      <c r="H43" s="103" t="s">
        <v>160</v>
      </c>
      <c r="I43" s="103" t="s">
        <v>165</v>
      </c>
      <c r="J43" s="103" t="s">
        <v>181</v>
      </c>
      <c r="K43" s="105"/>
      <c r="L43" s="105"/>
      <c r="M43" s="105"/>
      <c r="N43" s="106"/>
      <c r="O43" s="105"/>
      <c r="P43" s="82"/>
      <c r="Q43" s="105"/>
      <c r="R43" s="107"/>
      <c r="S43" s="103" t="s">
        <v>163</v>
      </c>
      <c r="T43" s="103" t="s">
        <v>163</v>
      </c>
      <c r="U43" s="103" t="s">
        <v>163</v>
      </c>
      <c r="V43" s="103" t="s">
        <v>163</v>
      </c>
      <c r="W43" s="103" t="s">
        <v>163</v>
      </c>
      <c r="X43" s="103" t="s">
        <v>164</v>
      </c>
      <c r="Y43" s="82"/>
    </row>
    <row r="44" spans="2:25" s="1" customFormat="1" ht="22.5" customHeight="1">
      <c r="B44" s="103" t="s">
        <v>154</v>
      </c>
      <c r="C44" s="103" t="s">
        <v>155</v>
      </c>
      <c r="D44" s="103" t="s">
        <v>156</v>
      </c>
      <c r="E44" s="104" t="s">
        <v>6</v>
      </c>
      <c r="F44" s="103" t="s">
        <v>12</v>
      </c>
      <c r="G44" s="103" t="s">
        <v>177</v>
      </c>
      <c r="H44" s="103" t="s">
        <v>160</v>
      </c>
      <c r="I44" s="103" t="s">
        <v>165</v>
      </c>
      <c r="J44" s="103" t="s">
        <v>182</v>
      </c>
      <c r="K44" s="105"/>
      <c r="L44" s="105"/>
      <c r="M44" s="105"/>
      <c r="N44" s="106"/>
      <c r="O44" s="105"/>
      <c r="P44" s="82"/>
      <c r="Q44" s="105"/>
      <c r="R44" s="107"/>
      <c r="S44" s="103" t="s">
        <v>163</v>
      </c>
      <c r="T44" s="103" t="s">
        <v>163</v>
      </c>
      <c r="U44" s="103" t="s">
        <v>163</v>
      </c>
      <c r="V44" s="103" t="s">
        <v>163</v>
      </c>
      <c r="W44" s="103" t="s">
        <v>163</v>
      </c>
      <c r="X44" s="103" t="s">
        <v>164</v>
      </c>
      <c r="Y44" s="82"/>
    </row>
    <row r="45" spans="2:25" s="1" customFormat="1" ht="22.5" customHeight="1">
      <c r="B45" s="103" t="s">
        <v>154</v>
      </c>
      <c r="C45" s="103" t="s">
        <v>155</v>
      </c>
      <c r="D45" s="103" t="s">
        <v>156</v>
      </c>
      <c r="E45" s="104" t="s">
        <v>6</v>
      </c>
      <c r="F45" s="103" t="s">
        <v>12</v>
      </c>
      <c r="G45" s="103" t="s">
        <v>177</v>
      </c>
      <c r="H45" s="103" t="s">
        <v>160</v>
      </c>
      <c r="I45" s="103" t="s">
        <v>165</v>
      </c>
      <c r="J45" s="103" t="s">
        <v>183</v>
      </c>
      <c r="K45" s="105"/>
      <c r="L45" s="105"/>
      <c r="M45" s="105"/>
      <c r="N45" s="106"/>
      <c r="O45" s="105"/>
      <c r="P45" s="82"/>
      <c r="Q45" s="105"/>
      <c r="R45" s="107"/>
      <c r="S45" s="103" t="s">
        <v>163</v>
      </c>
      <c r="T45" s="103" t="s">
        <v>163</v>
      </c>
      <c r="U45" s="103" t="s">
        <v>163</v>
      </c>
      <c r="V45" s="103" t="s">
        <v>163</v>
      </c>
      <c r="W45" s="103" t="s">
        <v>163</v>
      </c>
      <c r="X45" s="103" t="s">
        <v>164</v>
      </c>
      <c r="Y45" s="82"/>
    </row>
    <row r="46" spans="2:25" s="1" customFormat="1" ht="22.5" customHeight="1">
      <c r="B46" s="111" t="s">
        <v>154</v>
      </c>
      <c r="C46" s="111" t="s">
        <v>155</v>
      </c>
      <c r="D46" s="111" t="s">
        <v>156</v>
      </c>
      <c r="E46" s="112" t="s">
        <v>184</v>
      </c>
      <c r="F46" s="111" t="s">
        <v>185</v>
      </c>
      <c r="G46" s="111" t="s">
        <v>159</v>
      </c>
      <c r="H46" s="111" t="s">
        <v>160</v>
      </c>
      <c r="I46" s="111" t="s">
        <v>165</v>
      </c>
      <c r="J46" s="111" t="s">
        <v>186</v>
      </c>
      <c r="K46" s="113"/>
      <c r="L46" s="113"/>
      <c r="M46" s="113"/>
      <c r="N46" s="106"/>
      <c r="O46" s="113"/>
      <c r="P46" s="82"/>
      <c r="Q46" s="113"/>
      <c r="R46" s="107"/>
      <c r="S46" s="111" t="s">
        <v>163</v>
      </c>
      <c r="T46" s="111" t="s">
        <v>163</v>
      </c>
      <c r="U46" s="111" t="s">
        <v>163</v>
      </c>
      <c r="V46" s="111" t="s">
        <v>163</v>
      </c>
      <c r="W46" s="111" t="s">
        <v>163</v>
      </c>
      <c r="X46" s="111" t="s">
        <v>164</v>
      </c>
    </row>
    <row r="47" spans="2:25" s="1" customFormat="1" ht="22.5" customHeight="1">
      <c r="B47" s="103" t="s">
        <v>154</v>
      </c>
      <c r="C47" s="103" t="s">
        <v>155</v>
      </c>
      <c r="D47" s="103" t="s">
        <v>156</v>
      </c>
      <c r="E47" s="104" t="s">
        <v>187</v>
      </c>
      <c r="F47" s="103" t="s">
        <v>188</v>
      </c>
      <c r="G47" s="103" t="s">
        <v>159</v>
      </c>
      <c r="H47" s="103" t="s">
        <v>160</v>
      </c>
      <c r="I47" s="103" t="s">
        <v>165</v>
      </c>
      <c r="J47" s="103" t="s">
        <v>189</v>
      </c>
      <c r="K47" s="105"/>
      <c r="L47" s="105"/>
      <c r="M47" s="105"/>
      <c r="N47" s="106"/>
      <c r="O47" s="105"/>
      <c r="P47" s="82"/>
      <c r="Q47" s="105"/>
      <c r="R47" s="107"/>
      <c r="S47" s="103" t="s">
        <v>163</v>
      </c>
      <c r="T47" s="103" t="s">
        <v>163</v>
      </c>
      <c r="U47" s="103" t="s">
        <v>163</v>
      </c>
      <c r="V47" s="103" t="s">
        <v>163</v>
      </c>
      <c r="W47" s="103" t="s">
        <v>163</v>
      </c>
      <c r="X47" s="103" t="s">
        <v>164</v>
      </c>
      <c r="Y47" s="82"/>
    </row>
    <row r="48" spans="2:25" s="1" customFormat="1" ht="22.5" customHeight="1">
      <c r="B48" s="111" t="s">
        <v>154</v>
      </c>
      <c r="C48" s="111" t="s">
        <v>155</v>
      </c>
      <c r="D48" s="111" t="s">
        <v>156</v>
      </c>
      <c r="E48" s="112" t="s">
        <v>190</v>
      </c>
      <c r="F48" s="111" t="s">
        <v>191</v>
      </c>
      <c r="G48" s="111" t="s">
        <v>159</v>
      </c>
      <c r="H48" s="111" t="s">
        <v>160</v>
      </c>
      <c r="I48" s="111" t="s">
        <v>161</v>
      </c>
      <c r="J48" s="111" t="s">
        <v>192</v>
      </c>
      <c r="K48" s="113"/>
      <c r="L48" s="113"/>
      <c r="M48" s="113"/>
      <c r="N48" s="106"/>
      <c r="O48" s="113"/>
      <c r="P48" s="82"/>
      <c r="Q48" s="113"/>
      <c r="R48" s="107"/>
      <c r="S48" s="111" t="s">
        <v>163</v>
      </c>
      <c r="T48" s="111" t="s">
        <v>163</v>
      </c>
      <c r="U48" s="111" t="s">
        <v>163</v>
      </c>
      <c r="V48" s="111" t="s">
        <v>163</v>
      </c>
      <c r="W48" s="111" t="s">
        <v>163</v>
      </c>
      <c r="X48" s="111" t="s">
        <v>164</v>
      </c>
    </row>
    <row r="49" spans="2:25" s="1" customFormat="1" ht="22.5" customHeight="1">
      <c r="B49" s="111" t="s">
        <v>154</v>
      </c>
      <c r="C49" s="111" t="s">
        <v>155</v>
      </c>
      <c r="D49" s="111" t="s">
        <v>156</v>
      </c>
      <c r="E49" s="112" t="s">
        <v>190</v>
      </c>
      <c r="F49" s="111" t="s">
        <v>191</v>
      </c>
      <c r="G49" s="111" t="s">
        <v>159</v>
      </c>
      <c r="H49" s="111" t="s">
        <v>160</v>
      </c>
      <c r="I49" s="111" t="s">
        <v>165</v>
      </c>
      <c r="J49" s="111" t="s">
        <v>193</v>
      </c>
      <c r="K49" s="113"/>
      <c r="L49" s="113"/>
      <c r="M49" s="113"/>
      <c r="N49" s="106"/>
      <c r="O49" s="113"/>
      <c r="P49" s="82"/>
      <c r="Q49" s="113"/>
      <c r="R49" s="107"/>
      <c r="S49" s="111" t="s">
        <v>163</v>
      </c>
      <c r="T49" s="111" t="s">
        <v>163</v>
      </c>
      <c r="U49" s="111" t="s">
        <v>163</v>
      </c>
      <c r="V49" s="111" t="s">
        <v>163</v>
      </c>
      <c r="W49" s="111" t="s">
        <v>163</v>
      </c>
      <c r="X49" s="111" t="s">
        <v>164</v>
      </c>
    </row>
    <row r="50" spans="2:25" s="1" customFormat="1" ht="22.5" customHeight="1">
      <c r="B50" s="111" t="s">
        <v>154</v>
      </c>
      <c r="C50" s="111" t="s">
        <v>155</v>
      </c>
      <c r="D50" s="111" t="s">
        <v>156</v>
      </c>
      <c r="E50" s="112" t="s">
        <v>190</v>
      </c>
      <c r="F50" s="111" t="s">
        <v>191</v>
      </c>
      <c r="G50" s="111" t="s">
        <v>159</v>
      </c>
      <c r="H50" s="111" t="s">
        <v>160</v>
      </c>
      <c r="I50" s="111" t="s">
        <v>165</v>
      </c>
      <c r="J50" s="111" t="s">
        <v>194</v>
      </c>
      <c r="K50" s="113"/>
      <c r="L50" s="113"/>
      <c r="M50" s="113"/>
      <c r="N50" s="106"/>
      <c r="O50" s="113"/>
      <c r="P50" s="82"/>
      <c r="Q50" s="113"/>
      <c r="R50" s="107"/>
      <c r="S50" s="111" t="s">
        <v>163</v>
      </c>
      <c r="T50" s="111" t="s">
        <v>163</v>
      </c>
      <c r="U50" s="111" t="s">
        <v>163</v>
      </c>
      <c r="V50" s="111" t="s">
        <v>163</v>
      </c>
      <c r="W50" s="111" t="s">
        <v>163</v>
      </c>
      <c r="X50" s="111" t="s">
        <v>164</v>
      </c>
    </row>
    <row r="51" spans="2:25" s="1" customFormat="1" ht="22.5" customHeight="1">
      <c r="B51" s="111" t="s">
        <v>154</v>
      </c>
      <c r="C51" s="111" t="s">
        <v>155</v>
      </c>
      <c r="D51" s="111" t="s">
        <v>156</v>
      </c>
      <c r="E51" s="112" t="s">
        <v>190</v>
      </c>
      <c r="F51" s="111" t="s">
        <v>191</v>
      </c>
      <c r="G51" s="111" t="s">
        <v>159</v>
      </c>
      <c r="H51" s="111" t="s">
        <v>160</v>
      </c>
      <c r="I51" s="111" t="s">
        <v>165</v>
      </c>
      <c r="J51" s="111" t="s">
        <v>195</v>
      </c>
      <c r="K51" s="113"/>
      <c r="L51" s="113"/>
      <c r="M51" s="113"/>
      <c r="N51" s="106"/>
      <c r="O51" s="113"/>
      <c r="P51" s="82"/>
      <c r="Q51" s="113"/>
      <c r="R51" s="107"/>
      <c r="S51" s="111" t="s">
        <v>163</v>
      </c>
      <c r="T51" s="111" t="s">
        <v>163</v>
      </c>
      <c r="U51" s="111" t="s">
        <v>163</v>
      </c>
      <c r="V51" s="111" t="s">
        <v>163</v>
      </c>
      <c r="W51" s="111" t="s">
        <v>163</v>
      </c>
      <c r="X51" s="111" t="s">
        <v>164</v>
      </c>
    </row>
    <row r="52" spans="2:25" s="1" customFormat="1" ht="22.5" customHeight="1">
      <c r="B52" s="103" t="s">
        <v>154</v>
      </c>
      <c r="C52" s="103" t="s">
        <v>155</v>
      </c>
      <c r="D52" s="103" t="s">
        <v>156</v>
      </c>
      <c r="E52" s="104" t="s">
        <v>196</v>
      </c>
      <c r="F52" s="103" t="s">
        <v>197</v>
      </c>
      <c r="G52" s="103" t="s">
        <v>159</v>
      </c>
      <c r="H52" s="103" t="s">
        <v>160</v>
      </c>
      <c r="I52" s="103" t="s">
        <v>198</v>
      </c>
      <c r="J52" s="103" t="s">
        <v>199</v>
      </c>
      <c r="K52" s="105"/>
      <c r="L52" s="105"/>
      <c r="M52" s="105"/>
      <c r="N52" s="106"/>
      <c r="O52" s="105"/>
      <c r="P52" s="82"/>
      <c r="Q52" s="105"/>
      <c r="R52" s="107"/>
      <c r="S52" s="103" t="s">
        <v>163</v>
      </c>
      <c r="T52" s="103" t="s">
        <v>163</v>
      </c>
      <c r="U52" s="103" t="s">
        <v>163</v>
      </c>
      <c r="V52" s="103" t="s">
        <v>163</v>
      </c>
      <c r="W52" s="103" t="s">
        <v>163</v>
      </c>
      <c r="X52" s="103" t="s">
        <v>164</v>
      </c>
      <c r="Y52" s="82"/>
    </row>
    <row r="53" spans="2:25" s="1" customFormat="1" ht="22.5" customHeight="1">
      <c r="B53" s="103" t="s">
        <v>154</v>
      </c>
      <c r="C53" s="103" t="s">
        <v>155</v>
      </c>
      <c r="D53" s="103" t="s">
        <v>156</v>
      </c>
      <c r="E53" s="104" t="s">
        <v>196</v>
      </c>
      <c r="F53" s="103" t="s">
        <v>197</v>
      </c>
      <c r="G53" s="103" t="s">
        <v>159</v>
      </c>
      <c r="H53" s="103" t="s">
        <v>160</v>
      </c>
      <c r="I53" s="103" t="s">
        <v>198</v>
      </c>
      <c r="J53" s="103" t="s">
        <v>200</v>
      </c>
      <c r="K53" s="105"/>
      <c r="L53" s="105"/>
      <c r="M53" s="105"/>
      <c r="N53" s="106"/>
      <c r="O53" s="105"/>
      <c r="P53" s="82"/>
      <c r="Q53" s="105"/>
      <c r="R53" s="107"/>
      <c r="S53" s="103" t="s">
        <v>163</v>
      </c>
      <c r="T53" s="103" t="s">
        <v>163</v>
      </c>
      <c r="U53" s="103" t="s">
        <v>163</v>
      </c>
      <c r="V53" s="103" t="s">
        <v>163</v>
      </c>
      <c r="W53" s="103" t="s">
        <v>163</v>
      </c>
      <c r="X53" s="103" t="s">
        <v>164</v>
      </c>
      <c r="Y53" s="82"/>
    </row>
    <row r="54" spans="2:25" s="1" customFormat="1" ht="22.5" customHeight="1">
      <c r="B54" s="114"/>
      <c r="C54" s="114"/>
      <c r="D54" s="114"/>
      <c r="E54" s="115"/>
      <c r="F54" s="114"/>
      <c r="G54" s="114"/>
      <c r="H54" s="114"/>
      <c r="I54" s="114"/>
      <c r="J54" s="114"/>
      <c r="K54" s="114"/>
      <c r="L54" s="114"/>
      <c r="M54" s="114"/>
      <c r="N54" s="86"/>
      <c r="O54" s="114"/>
      <c r="P54" s="116"/>
      <c r="Q54" s="114"/>
      <c r="R54" s="107"/>
      <c r="S54" s="114"/>
      <c r="T54" s="114"/>
      <c r="U54" s="114"/>
      <c r="V54" s="114"/>
      <c r="W54" s="114"/>
      <c r="X54" s="117"/>
    </row>
    <row r="55" spans="2:25" s="1" customFormat="1" ht="22.5" customHeight="1">
      <c r="B55" s="92"/>
      <c r="C55" s="103"/>
      <c r="D55" s="103"/>
      <c r="E55" s="104"/>
      <c r="F55" s="103"/>
      <c r="G55" s="103"/>
      <c r="H55" s="103"/>
      <c r="I55" s="103"/>
      <c r="J55" s="103"/>
      <c r="K55" s="103"/>
      <c r="L55" s="103"/>
      <c r="M55" s="103"/>
      <c r="N55" s="86"/>
      <c r="O55" s="103"/>
      <c r="P55" s="82"/>
      <c r="Q55" s="103"/>
      <c r="R55" s="107"/>
      <c r="S55" s="103"/>
      <c r="T55" s="103"/>
      <c r="U55" s="103"/>
      <c r="V55" s="103"/>
      <c r="W55" s="103"/>
      <c r="X55" s="105"/>
    </row>
    <row r="56" spans="2:25" s="1" customFormat="1">
      <c r="B56" s="118"/>
      <c r="P56" s="82"/>
      <c r="R56" s="107"/>
    </row>
    <row r="57" spans="2:25" s="1" customFormat="1">
      <c r="B57" s="1" t="s">
        <v>201</v>
      </c>
      <c r="P57" s="82"/>
    </row>
    <row r="58" spans="2:25" s="1" customFormat="1">
      <c r="B58" s="1" t="s">
        <v>202</v>
      </c>
      <c r="P58" s="82"/>
    </row>
    <row r="59" spans="2:25" s="1" customFormat="1">
      <c r="B59" s="1" t="s">
        <v>203</v>
      </c>
    </row>
    <row r="60" spans="2:25">
      <c r="B60" s="1" t="s">
        <v>204</v>
      </c>
      <c r="C60" s="1"/>
      <c r="D60" s="1"/>
      <c r="E60" s="1"/>
      <c r="F60" s="1"/>
      <c r="G60" s="118"/>
      <c r="H60" s="1"/>
      <c r="I60" s="1"/>
      <c r="J60" s="1"/>
    </row>
  </sheetData>
  <mergeCells count="17">
    <mergeCell ref="S17:W17"/>
    <mergeCell ref="B4:Y7"/>
    <mergeCell ref="K13:N13"/>
    <mergeCell ref="B14:Y14"/>
    <mergeCell ref="K16:M16"/>
    <mergeCell ref="S16:W16"/>
    <mergeCell ref="T18:T29"/>
    <mergeCell ref="U18:U29"/>
    <mergeCell ref="V18:V29"/>
    <mergeCell ref="W18:W29"/>
    <mergeCell ref="B29:C29"/>
    <mergeCell ref="K18:K29"/>
    <mergeCell ref="L18:L29"/>
    <mergeCell ref="M18:M29"/>
    <mergeCell ref="O18:O29"/>
    <mergeCell ref="Q18:Q29"/>
    <mergeCell ref="S18:S29"/>
  </mergeCells>
  <dataValidations count="4">
    <dataValidation type="list" allowBlank="1" showInputMessage="1" showErrorMessage="1" sqref="G32:G55" xr:uid="{6609F1AE-A5CE-440A-AA14-62E00EA35693}">
      <formula1>"To do, Provided, Enclosed, Not Applicable"</formula1>
    </dataValidation>
    <dataValidation type="list" allowBlank="1" showInputMessage="1" showErrorMessage="1" sqref="B32:B55" xr:uid="{2973CDD2-56A5-489A-9604-6E4ACB642B4E}">
      <formula1>"Added (A), Modified (M), Unchanged (U), Suppressed (S)"</formula1>
    </dataValidation>
    <dataValidation type="list" allowBlank="1" showInputMessage="1" showErrorMessage="1" sqref="C32:C55" xr:uid="{139430B3-629B-4EA9-8AD5-D43CBCB059D4}">
      <formula1>"Oui (O), Non (N)"</formula1>
    </dataValidation>
    <dataValidation type="list" allowBlank="1" showInputMessage="1" showErrorMessage="1" sqref="C27 C29:C30" xr:uid="{7CF81301-4DDA-4FA2-8087-23175443DE23}">
      <formula1>"A,M,S,U"</formula1>
    </dataValidation>
  </dataValidations>
  <pageMargins left="0.7" right="0.7" top="0.75" bottom="0.75" header="0.3" footer="0.3"/>
  <pageSetup paperSize="9" scale="29" fitToHeight="0" orientation="landscape" r:id="rId1"/>
  <headerFooter>
    <oddFooter>&amp;L&amp;"BNPP Type Light,Normal"&amp;12Direct Connectivity - Schedule updated on &amp;D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E0DD-F712-44B5-8092-8DD5081B7145}">
  <sheetPr>
    <tabColor rgb="FFC00000"/>
    <pageSetUpPr fitToPage="1"/>
  </sheetPr>
  <dimension ref="A1:N54"/>
  <sheetViews>
    <sheetView showGridLines="0" view="pageLayout" zoomScale="70" zoomScaleNormal="80" zoomScaleSheetLayoutView="85" zoomScalePageLayoutView="70" workbookViewId="0">
      <selection sqref="A1:Y7"/>
    </sheetView>
  </sheetViews>
  <sheetFormatPr defaultColWidth="5.5703125" defaultRowHeight="14.25"/>
  <cols>
    <col min="1" max="1" width="1.42578125" style="10" customWidth="1"/>
    <col min="2" max="2" width="30.5703125" style="10" customWidth="1"/>
    <col min="3" max="3" width="38.5703125" style="10" customWidth="1"/>
    <col min="4" max="4" width="23.140625" style="10" customWidth="1"/>
    <col min="5" max="5" width="22" style="10" customWidth="1"/>
    <col min="6" max="6" width="21.85546875" style="10" customWidth="1"/>
    <col min="7" max="7" width="35.140625" style="10" customWidth="1"/>
    <col min="8" max="13" width="4.7109375" style="10" customWidth="1"/>
    <col min="14" max="16384" width="5.5703125" style="10"/>
  </cols>
  <sheetData>
    <row r="1" spans="1:14">
      <c r="A1" s="119"/>
      <c r="B1" s="219" t="s">
        <v>205</v>
      </c>
      <c r="C1" s="220"/>
      <c r="D1" s="220"/>
      <c r="E1" s="220"/>
      <c r="F1" s="220"/>
      <c r="G1" s="221"/>
    </row>
    <row r="2" spans="1:14" ht="14.65" customHeight="1">
      <c r="B2" s="222"/>
      <c r="C2" s="223"/>
      <c r="D2" s="223"/>
      <c r="E2" s="223"/>
      <c r="F2" s="223"/>
      <c r="G2" s="224"/>
    </row>
    <row r="3" spans="1:14" ht="14.65" customHeight="1">
      <c r="B3" s="222"/>
      <c r="C3" s="223"/>
      <c r="D3" s="223"/>
      <c r="E3" s="223"/>
      <c r="F3" s="223"/>
      <c r="G3" s="224"/>
    </row>
    <row r="4" spans="1:14">
      <c r="B4" s="225"/>
      <c r="C4" s="226"/>
      <c r="D4" s="226"/>
      <c r="E4" s="226"/>
      <c r="F4" s="226"/>
      <c r="G4" s="227"/>
    </row>
    <row r="5" spans="1:14" s="8" customFormat="1">
      <c r="B5" s="6" t="str">
        <f>'Sched 3. Tech Params &amp; Contacts'!A5</f>
        <v>Participating User:</v>
      </c>
      <c r="C5" s="3" t="str">
        <f>'Sched 3. Tech Params &amp; Contacts'!B5</f>
        <v>CPSP BELGIË NV</v>
      </c>
      <c r="D5" s="4"/>
      <c r="E5" s="4"/>
      <c r="F5" s="6" t="str">
        <f>'Sched 3. Tech Params &amp; Contacts'!E5</f>
        <v>Internal SGI:</v>
      </c>
      <c r="G5" s="59" t="str">
        <f>'Sched 3. Tech Params &amp; Contacts'!F5</f>
        <v>02468 - TBD</v>
      </c>
    </row>
    <row r="6" spans="1:14" s="8" customFormat="1">
      <c r="B6" s="6" t="str">
        <f>'Sched 3. Tech Params &amp; Contacts'!A6</f>
        <v>Client type:</v>
      </c>
      <c r="C6" s="3" t="str">
        <f>'Sched 3. Tech Params &amp; Contacts'!B6</f>
        <v>Establishement Institutions</v>
      </c>
      <c r="D6" s="4"/>
      <c r="E6" s="4"/>
      <c r="F6" s="6" t="str">
        <f>'Sched 3. Tech Params &amp; Contacts'!E6</f>
        <v>RMPM:</v>
      </c>
      <c r="G6" s="59" t="str">
        <f>'Sched 3. Tech Params &amp; Contacts'!F6</f>
        <v>4AAP510785</v>
      </c>
    </row>
    <row r="7" spans="1:14" s="8" customFormat="1">
      <c r="B7" s="6" t="str">
        <f>'Sched 3. Tech Params &amp; Contacts'!A7</f>
        <v>Country:</v>
      </c>
      <c r="C7" s="3" t="str">
        <f>'Sched 3. Tech Params &amp; Contacts'!B7</f>
        <v>Belgium</v>
      </c>
      <c r="D7" s="4"/>
      <c r="E7" s="4"/>
      <c r="F7" s="6" t="str">
        <f>'Sched 3. Tech Params &amp; Contacts'!E7</f>
        <v>WF / ID:</v>
      </c>
      <c r="G7" s="59" t="str">
        <f>'Sched 3. Tech Params &amp; Contacts'!F7</f>
        <v>TBD</v>
      </c>
    </row>
    <row r="8" spans="1:14" s="8" customFormat="1">
      <c r="B8" s="6" t="str">
        <f>'Sched 3. Tech Params &amp; Contacts'!A8</f>
        <v>Connectivity Info:</v>
      </c>
      <c r="C8" s="3" t="str">
        <f>'Sched 3. Tech Params &amp; Contacts'!B8</f>
        <v>API 4 Corporate</v>
      </c>
      <c r="D8" s="4"/>
      <c r="E8" s="4"/>
      <c r="F8" s="6" t="str">
        <f>'Sched 3. Tech Params &amp; Contacts'!E8</f>
        <v>Contract version:</v>
      </c>
      <c r="G8" s="59" t="str">
        <f>'Sched 3. Tech Params &amp; Contacts'!F8</f>
        <v>DCA Standard</v>
      </c>
    </row>
    <row r="9" spans="1:14" s="8" customFormat="1">
      <c r="B9" s="6" t="str">
        <f>'Sched 3. Tech Params &amp; Contacts'!A9</f>
        <v>Author:</v>
      </c>
      <c r="C9" s="3" t="str">
        <f>'Sched 3. Tech Params &amp; Contacts'!B9</f>
        <v>Frédéric Dufond</v>
      </c>
      <c r="D9" s="4"/>
      <c r="E9" s="4"/>
      <c r="F9" s="6" t="str">
        <f>'Sched 3. Tech Params &amp; Contacts'!E9</f>
        <v>Contracting Bank:</v>
      </c>
      <c r="G9" s="59" t="str">
        <f>'Sched 3. Tech Params &amp; Contacts'!F9</f>
        <v>BNP PARIBAS FORTIS SA</v>
      </c>
    </row>
    <row r="10" spans="1:14" s="8" customFormat="1">
      <c r="B10" s="6" t="str">
        <f>'Sched 3. Tech Params &amp; Contacts'!A10</f>
        <v xml:space="preserve">Client RM/Global CACM : </v>
      </c>
      <c r="C10" s="3" t="str">
        <f>'Sched 3. Tech Params &amp; Contacts'!B10</f>
        <v>Davy Vanwetswinkel</v>
      </c>
      <c r="D10" s="4"/>
      <c r="E10" s="4"/>
      <c r="F10" s="6" t="str">
        <f>'Sched 3. Tech Params &amp; Contacts'!E10</f>
        <v>Last update:</v>
      </c>
      <c r="G10" s="120">
        <f>'Sched 3. Tech Params &amp; Contacts'!F10</f>
        <v>45847</v>
      </c>
    </row>
    <row r="11" spans="1:14">
      <c r="B11" s="8"/>
      <c r="C11" s="8"/>
      <c r="D11" s="8"/>
      <c r="E11" s="8"/>
      <c r="F11" s="8"/>
      <c r="G11" s="8"/>
    </row>
    <row r="12" spans="1:14" s="8" customFormat="1" ht="18">
      <c r="B12" s="121" t="s">
        <v>29</v>
      </c>
      <c r="C12" s="122"/>
      <c r="D12" s="123"/>
      <c r="E12" s="124"/>
      <c r="F12" s="122"/>
      <c r="G12" s="123"/>
      <c r="H12" s="10"/>
      <c r="I12" s="10"/>
      <c r="J12" s="10"/>
      <c r="K12" s="10"/>
      <c r="L12" s="10"/>
      <c r="M12" s="10"/>
      <c r="N12" s="95"/>
    </row>
    <row r="13" spans="1:14" s="8" customFormat="1" ht="15.75">
      <c r="B13" s="125" t="s">
        <v>30</v>
      </c>
      <c r="C13" s="126" t="s">
        <v>31</v>
      </c>
      <c r="D13" s="127"/>
      <c r="E13" s="125" t="s">
        <v>30</v>
      </c>
      <c r="F13" s="126" t="s">
        <v>32</v>
      </c>
      <c r="G13" s="127"/>
      <c r="H13" s="10"/>
      <c r="I13" s="10"/>
      <c r="J13" s="10"/>
      <c r="K13" s="10"/>
      <c r="L13" s="10"/>
      <c r="M13" s="10"/>
      <c r="N13" s="95"/>
    </row>
    <row r="14" spans="1:14" s="8" customFormat="1" ht="15.75">
      <c r="B14" s="125" t="s">
        <v>33</v>
      </c>
      <c r="C14" s="128" t="s">
        <v>34</v>
      </c>
      <c r="D14" s="127"/>
      <c r="E14" s="125" t="s">
        <v>33</v>
      </c>
      <c r="F14" s="128" t="s">
        <v>35</v>
      </c>
      <c r="G14" s="127"/>
      <c r="H14" s="10"/>
      <c r="I14" s="10"/>
      <c r="J14" s="10"/>
      <c r="K14" s="10"/>
      <c r="L14" s="10"/>
      <c r="M14" s="10"/>
      <c r="N14" s="95"/>
    </row>
    <row r="15" spans="1:14" s="8" customFormat="1" ht="15.75">
      <c r="B15" s="125"/>
      <c r="C15" s="129"/>
      <c r="D15" s="127"/>
      <c r="E15" s="125"/>
      <c r="F15" s="127"/>
      <c r="G15" s="127"/>
      <c r="H15" s="10"/>
      <c r="I15" s="10"/>
      <c r="J15" s="10"/>
      <c r="K15" s="10"/>
      <c r="L15" s="10"/>
      <c r="M15" s="10"/>
      <c r="N15" s="95"/>
    </row>
    <row r="16" spans="1:14" s="8" customFormat="1" ht="15.75">
      <c r="B16" s="125"/>
      <c r="C16" s="129"/>
      <c r="D16" s="127"/>
      <c r="E16" s="125"/>
      <c r="F16" s="130"/>
      <c r="G16" s="127"/>
      <c r="H16" s="10"/>
      <c r="I16" s="10"/>
      <c r="J16" s="10"/>
      <c r="K16" s="10"/>
      <c r="L16" s="10"/>
      <c r="M16" s="10"/>
      <c r="N16" s="95"/>
    </row>
    <row r="17" spans="1:14" s="8" customFormat="1" ht="15.75">
      <c r="B17" s="125" t="s">
        <v>36</v>
      </c>
      <c r="C17" s="129" t="s">
        <v>37</v>
      </c>
      <c r="D17" s="127"/>
      <c r="E17" s="125" t="s">
        <v>36</v>
      </c>
      <c r="F17" s="129" t="str">
        <f>C17</f>
        <v>________________________________________</v>
      </c>
      <c r="G17" s="127"/>
      <c r="H17" s="10"/>
      <c r="I17" s="10"/>
      <c r="J17" s="10"/>
      <c r="K17" s="10"/>
      <c r="L17" s="10"/>
      <c r="M17" s="10"/>
      <c r="N17" s="95"/>
    </row>
    <row r="18" spans="1:14" s="8" customFormat="1" ht="18">
      <c r="B18" s="131"/>
      <c r="C18" s="131"/>
      <c r="D18" s="132"/>
      <c r="E18" s="133"/>
      <c r="F18" s="134"/>
      <c r="G18" s="132"/>
      <c r="H18" s="10"/>
      <c r="I18" s="10"/>
      <c r="J18" s="10"/>
      <c r="K18" s="10"/>
      <c r="L18" s="10"/>
      <c r="M18" s="10"/>
      <c r="N18" s="95"/>
    </row>
    <row r="19" spans="1:14">
      <c r="B19" s="228"/>
      <c r="C19" s="228"/>
      <c r="D19" s="228"/>
      <c r="E19" s="228"/>
      <c r="F19" s="228"/>
      <c r="G19" s="228"/>
    </row>
    <row r="20" spans="1:14">
      <c r="A20" s="135"/>
      <c r="C20" s="136"/>
      <c r="D20" s="137"/>
      <c r="E20" s="138"/>
      <c r="F20" s="136"/>
      <c r="G20" s="139"/>
    </row>
    <row r="21" spans="1:14" ht="15" customHeight="1">
      <c r="A21" s="140"/>
      <c r="C21" s="141"/>
      <c r="D21" s="137"/>
      <c r="E21" s="137"/>
      <c r="F21" s="136"/>
      <c r="G21" s="142"/>
    </row>
    <row r="22" spans="1:14" ht="207.75" customHeight="1">
      <c r="A22" s="140"/>
      <c r="B22" s="229" t="s">
        <v>206</v>
      </c>
      <c r="C22" s="229"/>
      <c r="D22" s="229"/>
      <c r="E22" s="229"/>
      <c r="F22" s="229"/>
      <c r="G22" s="229"/>
    </row>
    <row r="23" spans="1:14" ht="18">
      <c r="A23" s="140"/>
      <c r="B23" s="143"/>
      <c r="C23" s="143"/>
      <c r="D23" s="143"/>
      <c r="E23" s="143"/>
      <c r="F23" s="143"/>
      <c r="G23" s="143"/>
    </row>
    <row r="24" spans="1:14" ht="18">
      <c r="A24" s="136"/>
      <c r="B24" s="67"/>
      <c r="C24" s="144"/>
      <c r="D24" s="144"/>
      <c r="E24" s="144"/>
      <c r="F24" s="144"/>
      <c r="G24" s="142"/>
    </row>
    <row r="25" spans="1:14" ht="13.9" hidden="1" customHeight="1">
      <c r="B25" s="145" t="s">
        <v>207</v>
      </c>
      <c r="C25" s="145"/>
      <c r="D25" s="144"/>
      <c r="E25" s="144"/>
      <c r="F25" s="144"/>
    </row>
    <row r="26" spans="1:14" ht="18">
      <c r="A26" s="146"/>
      <c r="B26" s="147" t="s">
        <v>208</v>
      </c>
      <c r="C26" s="148" t="s">
        <v>209</v>
      </c>
      <c r="D26" s="149"/>
      <c r="E26" s="149"/>
      <c r="F26" s="149"/>
    </row>
    <row r="27" spans="1:14" ht="18">
      <c r="A27" s="146"/>
      <c r="B27" s="147" t="s">
        <v>210</v>
      </c>
      <c r="C27" s="150"/>
      <c r="D27" s="149"/>
      <c r="E27" s="149"/>
      <c r="F27" s="149"/>
    </row>
    <row r="28" spans="1:14" ht="18">
      <c r="A28" s="146"/>
      <c r="B28" s="144"/>
      <c r="C28" s="144"/>
      <c r="D28" s="144"/>
      <c r="E28" s="144"/>
      <c r="F28" s="144"/>
    </row>
    <row r="29" spans="1:14" ht="18">
      <c r="A29" s="146"/>
      <c r="B29" s="151" t="s">
        <v>211</v>
      </c>
      <c r="C29" s="152" t="s">
        <v>212</v>
      </c>
      <c r="D29" s="153" t="s">
        <v>213</v>
      </c>
      <c r="E29" s="144"/>
      <c r="F29" s="144"/>
    </row>
    <row r="30" spans="1:14" ht="18">
      <c r="A30" s="154"/>
      <c r="C30" s="152" t="s">
        <v>214</v>
      </c>
      <c r="D30" s="153" t="s">
        <v>215</v>
      </c>
    </row>
    <row r="31" spans="1:14" ht="18">
      <c r="A31" s="154"/>
      <c r="C31" s="152" t="s">
        <v>216</v>
      </c>
      <c r="D31" s="153" t="s">
        <v>215</v>
      </c>
    </row>
    <row r="32" spans="1:14">
      <c r="A32" s="155"/>
    </row>
    <row r="33" spans="1:7">
      <c r="A33" s="156"/>
    </row>
    <row r="34" spans="1:7">
      <c r="A34" s="156"/>
    </row>
    <row r="35" spans="1:7">
      <c r="A35" s="157"/>
    </row>
    <row r="36" spans="1:7">
      <c r="A36" s="155"/>
    </row>
    <row r="37" spans="1:7">
      <c r="A37" s="158"/>
    </row>
    <row r="38" spans="1:7">
      <c r="A38" s="158"/>
    </row>
    <row r="39" spans="1:7">
      <c r="A39" s="159"/>
      <c r="B39" s="159"/>
      <c r="C39" s="159"/>
      <c r="D39" s="159"/>
      <c r="E39" s="159"/>
      <c r="F39" s="159"/>
      <c r="G39" s="159"/>
    </row>
    <row r="40" spans="1:7">
      <c r="A40" s="159"/>
      <c r="B40" s="159"/>
      <c r="C40" s="159"/>
      <c r="D40" s="159"/>
      <c r="E40" s="159"/>
      <c r="F40" s="159"/>
      <c r="G40" s="159"/>
    </row>
    <row r="41" spans="1:7">
      <c r="A41" s="159"/>
      <c r="B41" s="159"/>
      <c r="C41" s="159"/>
      <c r="D41" s="159"/>
      <c r="E41" s="159"/>
      <c r="F41" s="159"/>
      <c r="G41" s="159"/>
    </row>
    <row r="42" spans="1:7">
      <c r="A42" s="159"/>
      <c r="B42" s="159"/>
      <c r="C42" s="159"/>
      <c r="D42" s="159"/>
      <c r="E42" s="159"/>
      <c r="F42" s="159"/>
      <c r="G42" s="159"/>
    </row>
    <row r="43" spans="1:7">
      <c r="A43" s="159"/>
      <c r="B43" s="159"/>
      <c r="C43" s="159"/>
      <c r="D43" s="159"/>
      <c r="E43" s="159"/>
      <c r="F43" s="159"/>
      <c r="G43" s="159"/>
    </row>
    <row r="44" spans="1:7">
      <c r="A44" s="159"/>
      <c r="B44" s="159"/>
      <c r="C44" s="159"/>
      <c r="D44" s="159"/>
      <c r="E44" s="159"/>
      <c r="F44" s="159"/>
      <c r="G44" s="159"/>
    </row>
    <row r="45" spans="1:7">
      <c r="A45" s="159"/>
      <c r="B45" s="159"/>
      <c r="C45" s="159"/>
      <c r="D45" s="159"/>
      <c r="E45" s="159"/>
      <c r="F45" s="159"/>
      <c r="G45" s="159"/>
    </row>
    <row r="46" spans="1:7">
      <c r="A46" s="159"/>
      <c r="B46" s="159"/>
      <c r="C46" s="159"/>
      <c r="D46" s="159"/>
      <c r="E46" s="159"/>
      <c r="F46" s="159"/>
      <c r="G46" s="159"/>
    </row>
    <row r="47" spans="1:7">
      <c r="A47" s="159"/>
      <c r="B47" s="159"/>
      <c r="C47" s="159"/>
      <c r="D47" s="159"/>
      <c r="E47" s="159"/>
      <c r="F47" s="159"/>
      <c r="G47" s="159"/>
    </row>
    <row r="48" spans="1:7">
      <c r="A48" s="159"/>
      <c r="B48" s="159"/>
      <c r="C48" s="159"/>
      <c r="D48" s="159"/>
      <c r="E48" s="159"/>
      <c r="F48" s="159"/>
      <c r="G48" s="159"/>
    </row>
    <row r="49" spans="1:7">
      <c r="A49" s="159"/>
      <c r="B49" s="159"/>
      <c r="C49" s="159"/>
      <c r="D49" s="159"/>
      <c r="E49" s="159"/>
      <c r="F49" s="159"/>
      <c r="G49" s="159"/>
    </row>
    <row r="50" spans="1:7">
      <c r="A50" s="159"/>
      <c r="B50" s="159"/>
      <c r="C50" s="159"/>
      <c r="D50" s="159"/>
      <c r="E50" s="159"/>
      <c r="F50" s="159"/>
      <c r="G50" s="159"/>
    </row>
    <row r="51" spans="1:7">
      <c r="A51" s="159"/>
      <c r="B51" s="159"/>
      <c r="C51" s="159"/>
      <c r="D51" s="159"/>
      <c r="E51" s="159"/>
      <c r="F51" s="159"/>
      <c r="G51" s="159"/>
    </row>
    <row r="52" spans="1:7">
      <c r="A52" s="160"/>
      <c r="B52" s="160"/>
      <c r="C52" s="160"/>
      <c r="D52" s="160"/>
      <c r="E52" s="160"/>
      <c r="F52" s="160"/>
      <c r="G52" s="160"/>
    </row>
    <row r="53" spans="1:7">
      <c r="A53" s="161"/>
      <c r="B53" s="161"/>
      <c r="C53" s="161"/>
      <c r="D53" s="161"/>
      <c r="E53" s="161"/>
      <c r="F53" s="161"/>
      <c r="G53" s="161"/>
    </row>
    <row r="54" spans="1:7">
      <c r="A54" s="161"/>
      <c r="B54" s="161"/>
      <c r="C54" s="161"/>
      <c r="D54" s="161"/>
      <c r="E54" s="161"/>
      <c r="F54" s="161"/>
      <c r="G54" s="161"/>
    </row>
  </sheetData>
  <mergeCells count="3">
    <mergeCell ref="B1:G4"/>
    <mergeCell ref="B19:G19"/>
    <mergeCell ref="B22:G22"/>
  </mergeCells>
  <dataValidations count="1">
    <dataValidation type="list" allowBlank="1" showInputMessage="1" showErrorMessage="1" sqref="A24" xr:uid="{71F83FFC-08BF-4255-BC53-899EFFD9A44A}">
      <formula1>"A,M,S,U"</formula1>
    </dataValidation>
  </dataValidations>
  <pageMargins left="0.7" right="0.7" top="0.75" bottom="0.75" header="0.3" footer="0.3"/>
  <pageSetup paperSize="9" scale="50" fitToHeight="0" orientation="portrait" r:id="rId1"/>
  <headerFooter>
    <oddFooter>&amp;L&amp;"BNPP Type Light,Normal"&amp;12Direct Connectivity - Schedule updated &amp;D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Dufond Frederic</dc:creator>
  <cp:keywords/>
  <dc:description/>
  <cp:lastModifiedBy>DUFOND Frederic</cp:lastModifiedBy>
  <cp:revision/>
  <dcterms:created xsi:type="dcterms:W3CDTF">2025-10-29T13:23:35Z</dcterms:created>
  <dcterms:modified xsi:type="dcterms:W3CDTF">2025-11-07T14:56:54Z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1357db8-9d3c-43cb-aa53-6fabb7f1a20a_Enabled">
    <vt:lpwstr>true</vt:lpwstr>
  </property>
  <property fmtid="{D5CDD505-2E9C-101B-9397-08002B2CF9AE}" pid="3" name="MSIP_Label_81357db8-9d3c-43cb-aa53-6fabb7f1a20a_SetDate">
    <vt:lpwstr>2025-10-29T13:24:23Z</vt:lpwstr>
  </property>
  <property fmtid="{D5CDD505-2E9C-101B-9397-08002B2CF9AE}" pid="4" name="MSIP_Label_81357db8-9d3c-43cb-aa53-6fabb7f1a20a_Method">
    <vt:lpwstr>Privileged</vt:lpwstr>
  </property>
  <property fmtid="{D5CDD505-2E9C-101B-9397-08002B2CF9AE}" pid="5" name="MSIP_Label_81357db8-9d3c-43cb-aa53-6fabb7f1a20a_Name">
    <vt:lpwstr>Confidential - External party property</vt:lpwstr>
  </property>
  <property fmtid="{D5CDD505-2E9C-101B-9397-08002B2CF9AE}" pid="6" name="MSIP_Label_81357db8-9d3c-43cb-aa53-6fabb7f1a20a_SiteId">
    <vt:lpwstr>614f9c25-bffa-42c7-86d8-964101f55fa2</vt:lpwstr>
  </property>
  <property fmtid="{D5CDD505-2E9C-101B-9397-08002B2CF9AE}" pid="7" name="MSIP_Label_81357db8-9d3c-43cb-aa53-6fabb7f1a20a_ActionId">
    <vt:lpwstr>c47479d6-f393-4b48-9acf-1cabf3a88312</vt:lpwstr>
  </property>
  <property fmtid="{D5CDD505-2E9C-101B-9397-08002B2CF9AE}" pid="8" name="MSIP_Label_81357db8-9d3c-43cb-aa53-6fabb7f1a20a_ContentBits">
    <vt:lpwstr>0</vt:lpwstr>
  </property>
  <property fmtid="{D5CDD505-2E9C-101B-9397-08002B2CF9AE}" pid="9" name="MSIP_Label_81357db8-9d3c-43cb-aa53-6fabb7f1a20a_Tag">
    <vt:lpwstr>10, 0, 1, 1</vt:lpwstr>
  </property>
</Properties>
</file>